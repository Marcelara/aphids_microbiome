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projects\aphids_microbiome\Data\"/>
    </mc:Choice>
  </mc:AlternateContent>
  <xr:revisionPtr revIDLastSave="0" documentId="13_ncr:1_{45027880-AD1A-49A2-8E01-753702C1C1A4}" xr6:coauthVersionLast="47" xr6:coauthVersionMax="47" xr10:uidLastSave="{00000000-0000-0000-0000-000000000000}"/>
  <bookViews>
    <workbookView xWindow="-28920" yWindow="-930" windowWidth="29040" windowHeight="15720" firstSheet="7" activeTab="13" xr2:uid="{821D34C1-ECBA-4D27-B470-E578FFFA25E1}"/>
  </bookViews>
  <sheets>
    <sheet name="Tab_overview" sheetId="2" r:id="rId1"/>
    <sheet name="ED" sheetId="1" r:id="rId2"/>
    <sheet name="Prep_Sample" sheetId="4" r:id="rId3"/>
    <sheet name="Label_Leaf" sheetId="6" r:id="rId4"/>
    <sheet name="Label_EW" sheetId="7" r:id="rId5"/>
    <sheet name="Label_LW" sheetId="8" r:id="rId6"/>
    <sheet name="Label_Glycerols" sheetId="9" r:id="rId7"/>
    <sheet name="Aph_numbers" sheetId="11" r:id="rId8"/>
    <sheet name="Aph_TubeC" sheetId="12" r:id="rId9"/>
    <sheet name="Aph_tubes" sheetId="10" r:id="rId10"/>
    <sheet name="Aph_TubeW" sheetId="3" r:id="rId11"/>
    <sheet name="Prep_DNA" sheetId="13" r:id="rId12"/>
    <sheet name="Leaf_FW" sheetId="17" r:id="rId13"/>
    <sheet name="DNA_C" sheetId="14" r:id="rId14"/>
    <sheet name="Plasmids" sheetId="15" r:id="rId15"/>
  </sheets>
  <definedNames>
    <definedName name="_xlnm._FilterDatabase" localSheetId="7" hidden="1">Aph_numbers!$A$1:$G$43</definedName>
    <definedName name="_xlnm._FilterDatabase" localSheetId="8" hidden="1">Aph_TubeC!$A$1:$F$1</definedName>
    <definedName name="_xlnm._FilterDatabase" localSheetId="13" hidden="1">DNA_C!$B$2:$O$2</definedName>
    <definedName name="_xlnm._FilterDatabase" localSheetId="12" hidden="1">Leaf_FW!$A$1:$I$61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17" l="1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G8" i="15"/>
  <c r="I7" i="15"/>
  <c r="G7" i="15"/>
  <c r="G6" i="15"/>
  <c r="I5" i="15"/>
  <c r="G5" i="15"/>
  <c r="G4" i="15"/>
  <c r="I3" i="15"/>
  <c r="G3" i="15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R7" i="4"/>
  <c r="R5" i="4"/>
  <c r="Q4" i="4"/>
  <c r="R4" i="4" s="1"/>
  <c r="Q1" i="4" l="1"/>
  <c r="Q11" i="4" l="1"/>
  <c r="R11" i="4" s="1"/>
  <c r="Q9" i="4"/>
  <c r="R9" i="4" s="1"/>
  <c r="Q6" i="4"/>
  <c r="Q15" i="4"/>
  <c r="Q1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Aragon Gomez, Marcela</author>
  </authors>
  <commentList>
    <comment ref="G1" authorId="0" shapeId="0" xr:uid="{65B9DB80-7A5B-4F4E-99C1-9B002B764032}">
      <text>
        <r>
          <rPr>
            <b/>
            <sz val="9"/>
            <color indexed="81"/>
            <rFont val="Tahoma"/>
            <charset val="1"/>
          </rPr>
          <t>Aragon Gomez, Marcela:</t>
        </r>
        <r>
          <rPr>
            <sz val="9"/>
            <color indexed="81"/>
            <rFont val="Tahoma"/>
            <charset val="1"/>
          </rPr>
          <t xml:space="preserve">
Sofia will fill it up
</t>
        </r>
      </text>
    </comment>
  </commentList>
</comments>
</file>

<file path=xl/sharedStrings.xml><?xml version="1.0" encoding="utf-8"?>
<sst xmlns="http://schemas.openxmlformats.org/spreadsheetml/2006/main" count="2651" uniqueCount="470">
  <si>
    <t>ID</t>
  </si>
  <si>
    <t>Block</t>
  </si>
  <si>
    <t>Aphid_species</t>
  </si>
  <si>
    <t>Rep_per_treatment</t>
  </si>
  <si>
    <t>Pot_in_block</t>
  </si>
  <si>
    <t>Brevicoryne</t>
  </si>
  <si>
    <t>Control</t>
  </si>
  <si>
    <t>Lipaphis</t>
  </si>
  <si>
    <t>Myzus</t>
  </si>
  <si>
    <t>Original Excel</t>
  </si>
  <si>
    <t>Location</t>
  </si>
  <si>
    <t>Results/Experiment_April/Experimental_Design</t>
  </si>
  <si>
    <t>Tab</t>
  </si>
  <si>
    <t>What is it?</t>
  </si>
  <si>
    <t>Epiphytes</t>
  </si>
  <si>
    <t>Surface sterilization</t>
  </si>
  <si>
    <t>Total samples + Controls</t>
  </si>
  <si>
    <t>Wash_1</t>
  </si>
  <si>
    <t>Wash_2</t>
  </si>
  <si>
    <t>Wash_3</t>
  </si>
  <si>
    <t>Wash_4</t>
  </si>
  <si>
    <t>Wash_5</t>
  </si>
  <si>
    <t>Wash_6</t>
  </si>
  <si>
    <t>Wash_7</t>
  </si>
  <si>
    <t>PBS</t>
  </si>
  <si>
    <t>80% etOH</t>
  </si>
  <si>
    <t>Bleach</t>
  </si>
  <si>
    <t>Water</t>
  </si>
  <si>
    <t>Step</t>
  </si>
  <si>
    <t>Wash</t>
  </si>
  <si>
    <t>Type</t>
  </si>
  <si>
    <t>Material</t>
  </si>
  <si>
    <t>Amount</t>
  </si>
  <si>
    <t>Amount final</t>
  </si>
  <si>
    <t>Why</t>
  </si>
  <si>
    <t>Wash 1</t>
  </si>
  <si>
    <t>Samples</t>
  </si>
  <si>
    <t>Falcon tubes 50mL</t>
  </si>
  <si>
    <t>1 tube with PBS wash + 1 tube for all the rest of washes</t>
  </si>
  <si>
    <t>Controls</t>
  </si>
  <si>
    <t>2 tube with PBS wash + 1 tube for all the rest of washes</t>
  </si>
  <si>
    <t>S + C</t>
  </si>
  <si>
    <t xml:space="preserve">PBS </t>
  </si>
  <si>
    <t>45 ml per tube * 59 washes</t>
  </si>
  <si>
    <t>isolation</t>
  </si>
  <si>
    <t>Glycerol 60%</t>
  </si>
  <si>
    <t>To dilute 1:1 and reach 30%, only 2 blocks: 8 samples*2 = 16 (epi and endo)</t>
  </si>
  <si>
    <t>Surface-Sterilization</t>
  </si>
  <si>
    <t>Wash 2,4</t>
  </si>
  <si>
    <t>Wash 3</t>
  </si>
  <si>
    <t>Wash 5,6,7</t>
  </si>
  <si>
    <t>MiliQ Water</t>
  </si>
  <si>
    <t>Wash 7</t>
  </si>
  <si>
    <t>Falcon tubes 50 mL</t>
  </si>
  <si>
    <t>To keep Wash 6 of water freezed for sequencing (control)</t>
  </si>
  <si>
    <t>Samples will be taken from 3 blocks (4*3=12)</t>
  </si>
  <si>
    <t>Clean leaf</t>
  </si>
  <si>
    <t>Sterile paper</t>
  </si>
  <si>
    <t>To air-dry leaves before freezing</t>
  </si>
  <si>
    <t>Endophytes</t>
  </si>
  <si>
    <t>Preparation.xls</t>
  </si>
  <si>
    <t>RCBD_labels_14blocks_4treatments_April.xls</t>
  </si>
  <si>
    <t>Results/Experiment_April/Experiment_Preparation</t>
  </si>
  <si>
    <t>Label_Leaf</t>
  </si>
  <si>
    <t>Label_EW</t>
  </si>
  <si>
    <t>Label_LW</t>
  </si>
  <si>
    <t>Label_Glycerols</t>
  </si>
  <si>
    <t>L</t>
  </si>
  <si>
    <t>Leaf</t>
  </si>
  <si>
    <t>Blank</t>
  </si>
  <si>
    <t>B</t>
  </si>
  <si>
    <t>Falcon _weight</t>
  </si>
  <si>
    <t>Date</t>
  </si>
  <si>
    <t>Sample_abb</t>
  </si>
  <si>
    <t>Sample</t>
  </si>
  <si>
    <t>Aphid_abb</t>
  </si>
  <si>
    <t>Epiphyte_wash</t>
  </si>
  <si>
    <t>EW</t>
  </si>
  <si>
    <t>Last_wash</t>
  </si>
  <si>
    <t>LW</t>
  </si>
  <si>
    <t>Content</t>
  </si>
  <si>
    <t>Aliquote</t>
  </si>
  <si>
    <t>Volume</t>
  </si>
  <si>
    <t>Glycerol 30%</t>
  </si>
  <si>
    <t>Stock</t>
  </si>
  <si>
    <t>1,100ul</t>
  </si>
  <si>
    <t>Aphid</t>
  </si>
  <si>
    <t>A</t>
  </si>
  <si>
    <t>200ul</t>
  </si>
  <si>
    <t>Original excel used for labeling 50mL falcon tubes to store final 'Leaf' already washed with PBS</t>
  </si>
  <si>
    <t>Original excel used for labeling 50mL falcon tubes to store PBS wash ('Epiphyte_Wash' = EW)</t>
  </si>
  <si>
    <t>Original excel used for labeling 10mL blue cap tubes to store 'Last Wash = LW' (3rd water wash after surface-sterilizing kept as controls in case needed, not all of them were used)</t>
  </si>
  <si>
    <t xml:space="preserve">Original excel used for labeling glycerol stocks of epiphyte wash, leaf and aphids. 1500ul were prepared to a final 30% glycerol concentration, and from these 2 aliquots of 200ul were stored for each type of sample. </t>
  </si>
  <si>
    <t>Labels_Falcon_tubes.xls</t>
  </si>
  <si>
    <t>Adults_wingless</t>
  </si>
  <si>
    <t>Winged_adults</t>
  </si>
  <si>
    <t>Nymphs</t>
  </si>
  <si>
    <t>Notes</t>
  </si>
  <si>
    <t>Counts of number of adults, number of nymphs and numper of winged adults registered at harvest for the 3 aphid species.</t>
  </si>
  <si>
    <t>Sheet_Number_Aphids_print.xls</t>
  </si>
  <si>
    <t>Tube</t>
  </si>
  <si>
    <t>Nr Aphids</t>
  </si>
  <si>
    <t>1-1</t>
  </si>
  <si>
    <t>1-2</t>
  </si>
  <si>
    <t>1-3</t>
  </si>
  <si>
    <t>8-1</t>
  </si>
  <si>
    <t>8-2</t>
  </si>
  <si>
    <t>8-3</t>
  </si>
  <si>
    <t>11-1</t>
  </si>
  <si>
    <t>11-2</t>
  </si>
  <si>
    <t>11-3</t>
  </si>
  <si>
    <t>16-1</t>
  </si>
  <si>
    <t>16-2</t>
  </si>
  <si>
    <t>16-3</t>
  </si>
  <si>
    <t>20-1</t>
  </si>
  <si>
    <t>20-2</t>
  </si>
  <si>
    <t>20-3</t>
  </si>
  <si>
    <t>21-1</t>
  </si>
  <si>
    <t>21-2</t>
  </si>
  <si>
    <t>21-3</t>
  </si>
  <si>
    <t>28-1</t>
  </si>
  <si>
    <t>28-2</t>
  </si>
  <si>
    <t>28-3</t>
  </si>
  <si>
    <t>29-1</t>
  </si>
  <si>
    <t>29-2</t>
  </si>
  <si>
    <t>29-3</t>
  </si>
  <si>
    <t>36-1</t>
  </si>
  <si>
    <t>36-2</t>
  </si>
  <si>
    <t>36-3</t>
  </si>
  <si>
    <t>40-1</t>
  </si>
  <si>
    <t>40-2</t>
  </si>
  <si>
    <t>40-3</t>
  </si>
  <si>
    <t>43-1</t>
  </si>
  <si>
    <t>43-2</t>
  </si>
  <si>
    <t>43-3</t>
  </si>
  <si>
    <t>47-1</t>
  </si>
  <si>
    <t>47-2</t>
  </si>
  <si>
    <t>47-3</t>
  </si>
  <si>
    <t>52-1</t>
  </si>
  <si>
    <t>52-2</t>
  </si>
  <si>
    <t>52-3</t>
  </si>
  <si>
    <t>54-1</t>
  </si>
  <si>
    <t>54-2</t>
  </si>
  <si>
    <t>54-3</t>
  </si>
  <si>
    <t>3-1</t>
  </si>
  <si>
    <t>3-2</t>
  </si>
  <si>
    <t>3-3</t>
  </si>
  <si>
    <t>7-1</t>
  </si>
  <si>
    <t>7-2</t>
  </si>
  <si>
    <t>7-3</t>
  </si>
  <si>
    <t>9-1</t>
  </si>
  <si>
    <t>9-2</t>
  </si>
  <si>
    <t>9-3</t>
  </si>
  <si>
    <t>15-1</t>
  </si>
  <si>
    <t>15-2</t>
  </si>
  <si>
    <t>15-3</t>
  </si>
  <si>
    <t>18-1</t>
  </si>
  <si>
    <t>18-2</t>
  </si>
  <si>
    <t>18-3</t>
  </si>
  <si>
    <t>22-1</t>
  </si>
  <si>
    <t>22-2</t>
  </si>
  <si>
    <t>22-3</t>
  </si>
  <si>
    <t>25-1</t>
  </si>
  <si>
    <t>25-2</t>
  </si>
  <si>
    <t>25-3</t>
  </si>
  <si>
    <t>32-1</t>
  </si>
  <si>
    <t>32-2</t>
  </si>
  <si>
    <t>32-3</t>
  </si>
  <si>
    <t>35-1</t>
  </si>
  <si>
    <t>35-2</t>
  </si>
  <si>
    <t>35-3</t>
  </si>
  <si>
    <t>37-1</t>
  </si>
  <si>
    <t>37-2</t>
  </si>
  <si>
    <t>37-3</t>
  </si>
  <si>
    <t>42-1</t>
  </si>
  <si>
    <t>42-2</t>
  </si>
  <si>
    <t>42-3</t>
  </si>
  <si>
    <t>45-1</t>
  </si>
  <si>
    <t>45-2</t>
  </si>
  <si>
    <t>45-3</t>
  </si>
  <si>
    <t>51-1</t>
  </si>
  <si>
    <t>51-2</t>
  </si>
  <si>
    <t>51-3</t>
  </si>
  <si>
    <t>56-1</t>
  </si>
  <si>
    <t>56-2</t>
  </si>
  <si>
    <t>56-3</t>
  </si>
  <si>
    <t>4-1</t>
  </si>
  <si>
    <t>4-2</t>
  </si>
  <si>
    <t>4-3</t>
  </si>
  <si>
    <t>6-1</t>
  </si>
  <si>
    <t>6-2</t>
  </si>
  <si>
    <t>6-3</t>
  </si>
  <si>
    <t>10-1</t>
  </si>
  <si>
    <t>10-2</t>
  </si>
  <si>
    <t>10-3</t>
  </si>
  <si>
    <t>13-1</t>
  </si>
  <si>
    <t>13-2</t>
  </si>
  <si>
    <t>13-3</t>
  </si>
  <si>
    <t>19-1</t>
  </si>
  <si>
    <t>19-2</t>
  </si>
  <si>
    <t>19-3</t>
  </si>
  <si>
    <t>23-1</t>
  </si>
  <si>
    <t>23-2</t>
  </si>
  <si>
    <t>23-3</t>
  </si>
  <si>
    <t>27-1</t>
  </si>
  <si>
    <t>27-2</t>
  </si>
  <si>
    <t>27-3</t>
  </si>
  <si>
    <t>30-1</t>
  </si>
  <si>
    <t>30-2</t>
  </si>
  <si>
    <t>30-3</t>
  </si>
  <si>
    <t>33-1</t>
  </si>
  <si>
    <t>33-2</t>
  </si>
  <si>
    <t>33-3</t>
  </si>
  <si>
    <t>39-1</t>
  </si>
  <si>
    <t>39-2</t>
  </si>
  <si>
    <t>39-3</t>
  </si>
  <si>
    <t>44-1</t>
  </si>
  <si>
    <t>44-2</t>
  </si>
  <si>
    <t>44-3</t>
  </si>
  <si>
    <t>48-1</t>
  </si>
  <si>
    <t>48-2</t>
  </si>
  <si>
    <t>48-3</t>
  </si>
  <si>
    <t>50-1</t>
  </si>
  <si>
    <t>50-2</t>
  </si>
  <si>
    <t>50-3</t>
  </si>
  <si>
    <t>55-1</t>
  </si>
  <si>
    <t>55-2</t>
  </si>
  <si>
    <t>55-3</t>
  </si>
  <si>
    <t xml:space="preserve">Print-out sheet to keep overview of how much aphids were sampled according to which purpose (tubes 1, 2, and 3 were labelled for microbiome, metatranscriptomics and extra, respectively). </t>
  </si>
  <si>
    <t>Sheet_Tubes_Aphids_print.xls</t>
  </si>
  <si>
    <t>weight tubes not final sheet.xls</t>
  </si>
  <si>
    <t>DNA</t>
  </si>
  <si>
    <t>RNA</t>
  </si>
  <si>
    <t>Glycerol</t>
  </si>
  <si>
    <t>?</t>
  </si>
  <si>
    <t>Aph_TubeC</t>
  </si>
  <si>
    <t>Aph_numbers</t>
  </si>
  <si>
    <t>Aph_TubeW</t>
  </si>
  <si>
    <t>Aphids_per_tube.xls</t>
  </si>
  <si>
    <t>Results/Experiment_April/Raw_data</t>
  </si>
  <si>
    <t>Aph_Tubes</t>
  </si>
  <si>
    <t>Tube Content = 'TubeC' ; Registration of number of adult aphids collected in tubes 1-3, in 'Notes' it is stated whether they would be used for microbiome (DNA), transcriptomics (RNA), or glycerol stocks (Glycerol). Empty means extra.</t>
  </si>
  <si>
    <t>TubeWeight = 'TubeW' ; Value in grams of empty Tube 1, to be used for collecting aphids for microbiome</t>
  </si>
  <si>
    <t>Results/Experiment_April/Experiment_Preparation &amp; Results/Experiment_April/Raw_data</t>
  </si>
  <si>
    <t>Ordered</t>
  </si>
  <si>
    <t>Phase</t>
  </si>
  <si>
    <t>What</t>
  </si>
  <si>
    <t>Product No.</t>
  </si>
  <si>
    <t>Frequent Order</t>
  </si>
  <si>
    <t>Brand</t>
  </si>
  <si>
    <t>Provider</t>
  </si>
  <si>
    <t>Price</t>
  </si>
  <si>
    <t>Department</t>
  </si>
  <si>
    <t>Link</t>
  </si>
  <si>
    <t>Yes</t>
  </si>
  <si>
    <t>Sample prep</t>
  </si>
  <si>
    <t>Swinnex Filter Holder - Autoclavable 25 mm</t>
  </si>
  <si>
    <t>SX0002500</t>
  </si>
  <si>
    <t>Millipore</t>
  </si>
  <si>
    <t>Merck</t>
  </si>
  <si>
    <t>https://www.sigmaaldrich.com/NL/en/product/mm/sx0002500</t>
  </si>
  <si>
    <t>Syringe - Omnifix 50 mL Luer Lock</t>
  </si>
  <si>
    <t>4617509F</t>
  </si>
  <si>
    <t>Braun</t>
  </si>
  <si>
    <t>DH Medical</t>
  </si>
  <si>
    <t>https://www.dhmaterialmedico.com/en/omnifix-50-ml-luer-lock-syringe-without-latex-box-of-100?srsltid=AfmBOopSF5wcwUj6UhlyzPsCS4Al53yoTEKjFNiS64O3iZE8FHh8RqO4</t>
  </si>
  <si>
    <t>Syringe BD 50/60 ml, luer-lock, 3-piece</t>
  </si>
  <si>
    <t>SKU: 409052</t>
  </si>
  <si>
    <t>BD</t>
  </si>
  <si>
    <t>antonides</t>
  </si>
  <si>
    <t>https://antonides.com/products/spuit-bd-50-60-ml-luer-lock-3-delig?variant=48393592242518&amp;country=NL&amp;currency=EUR&amp;utm_medium=product_sync&amp;utm_source=google&amp;utm_content=sag_organic&amp;utm_campaign=sag_organic&amp;utm_source=google&amp;utm_medium=cpc&amp;utm_source=google&amp;utm_medium=shopping&amp;utm_campaign=ROAS_20&amp;utm_keyword=&amp;gad_source=1&amp;gad_campaignid=22834695782&amp;gbraid=0AAAAADxLdwg45885emnataPEaA4EoVXhG&amp;gclid=Cj0KCQjwiJvQBhCYARIsAMjts3KSU65cs3GdxXzqtJD05YxDqhbyyyg4WbdXBCFmnQqxWB3rzRqUJOgaArsgEALw_wcB</t>
  </si>
  <si>
    <t>Polycarbonate Membrane Filter 0,22 μm Pore Size</t>
  </si>
  <si>
    <t>GTTP02500</t>
  </si>
  <si>
    <t>https://www.sigmaaldrich.com/NL/en/product/mm/gttp02500</t>
  </si>
  <si>
    <t>DNA extraction</t>
  </si>
  <si>
    <t>DNAeasy Power Soil Pro Kit (2x50)</t>
  </si>
  <si>
    <t>Qiagen</t>
  </si>
  <si>
    <t>ENTO</t>
  </si>
  <si>
    <t xml:space="preserve">2 ml safelock tubes </t>
  </si>
  <si>
    <t>Sarstedt</t>
  </si>
  <si>
    <t>1,5 ml safelock tubes</t>
  </si>
  <si>
    <t>Nuclease free water (?)</t>
  </si>
  <si>
    <t>10 x 50mL</t>
  </si>
  <si>
    <t>DeNovix dsDNA Broad Range Dye (x250)</t>
  </si>
  <si>
    <t>DSDNA-BROAD-1</t>
  </si>
  <si>
    <t>GC Biotech</t>
  </si>
  <si>
    <t>https://www.denovix.com/tn-143-broad-range-assay-detailed-protocol/</t>
  </si>
  <si>
    <t>ED</t>
  </si>
  <si>
    <t>Experimental_Design = ED ; Original experimental design sheet, used as base for labels. 56 total plants, 12+2 = 14 replicates. Plan was to use the +2 plants (from blocks 13 and 14) for glycerol stock and not microbiome sampling.</t>
  </si>
  <si>
    <t>Prep_Sample</t>
  </si>
  <si>
    <t>Overview of calculations for material and buffer needed for harvesting preparation</t>
  </si>
  <si>
    <t>Prep_DNA</t>
  </si>
  <si>
    <t>Overview of calculations for material needed for DNA extraction</t>
  </si>
  <si>
    <t>Preparation_Ordering.xls</t>
  </si>
  <si>
    <t>Results/DNA_Extraction</t>
  </si>
  <si>
    <t>DNA_C</t>
  </si>
  <si>
    <t xml:space="preserve">Results from measurements of DNA concentration with the High Sensitivy DS-DeNovix kit </t>
  </si>
  <si>
    <t>Nanodrop</t>
  </si>
  <si>
    <t>deNovix</t>
  </si>
  <si>
    <t>sample_type</t>
  </si>
  <si>
    <t>fraction</t>
  </si>
  <si>
    <t>sample_name</t>
  </si>
  <si>
    <t>experimental_batch</t>
  </si>
  <si>
    <t>DNA_extraction_batch</t>
  </si>
  <si>
    <t xml:space="preserve">ng/ul </t>
  </si>
  <si>
    <t>A260</t>
  </si>
  <si>
    <t>260/280</t>
  </si>
  <si>
    <t>260/230</t>
  </si>
  <si>
    <t>ng/ul</t>
  </si>
  <si>
    <t>leaf_wash</t>
  </si>
  <si>
    <t>epiphytes</t>
  </si>
  <si>
    <t>1E</t>
  </si>
  <si>
    <t>2E</t>
  </si>
  <si>
    <t>3E</t>
  </si>
  <si>
    <t>4E</t>
  </si>
  <si>
    <t>5E</t>
  </si>
  <si>
    <t>too_low</t>
  </si>
  <si>
    <t>6E</t>
  </si>
  <si>
    <t>7E</t>
  </si>
  <si>
    <t>8E</t>
  </si>
  <si>
    <t>9E</t>
  </si>
  <si>
    <t>10E</t>
  </si>
  <si>
    <t>11E</t>
  </si>
  <si>
    <t>12E</t>
  </si>
  <si>
    <t>13E</t>
  </si>
  <si>
    <t>14E</t>
  </si>
  <si>
    <t>15E</t>
  </si>
  <si>
    <t>16E</t>
  </si>
  <si>
    <t>17E</t>
  </si>
  <si>
    <t>18E</t>
  </si>
  <si>
    <t>19E</t>
  </si>
  <si>
    <t>20E</t>
  </si>
  <si>
    <t>21E</t>
  </si>
  <si>
    <t>22E</t>
  </si>
  <si>
    <t>23E</t>
  </si>
  <si>
    <t>24E</t>
  </si>
  <si>
    <t>25E</t>
  </si>
  <si>
    <t>26E</t>
  </si>
  <si>
    <t>27E</t>
  </si>
  <si>
    <t>28E</t>
  </si>
  <si>
    <t>29E</t>
  </si>
  <si>
    <t>30E</t>
  </si>
  <si>
    <t>31E</t>
  </si>
  <si>
    <t>32E</t>
  </si>
  <si>
    <t>33E</t>
  </si>
  <si>
    <t>34E</t>
  </si>
  <si>
    <t>35E</t>
  </si>
  <si>
    <t>36E</t>
  </si>
  <si>
    <t>37E</t>
  </si>
  <si>
    <t>38E</t>
  </si>
  <si>
    <t>39E</t>
  </si>
  <si>
    <t>40E</t>
  </si>
  <si>
    <t>41E</t>
  </si>
  <si>
    <t>42E</t>
  </si>
  <si>
    <t>43E</t>
  </si>
  <si>
    <t>44E</t>
  </si>
  <si>
    <t>45E</t>
  </si>
  <si>
    <t>46E</t>
  </si>
  <si>
    <t>47E</t>
  </si>
  <si>
    <t>48E</t>
  </si>
  <si>
    <t>49E</t>
  </si>
  <si>
    <t>50E</t>
  </si>
  <si>
    <t>51E</t>
  </si>
  <si>
    <t>52E</t>
  </si>
  <si>
    <t>53E</t>
  </si>
  <si>
    <t>54E</t>
  </si>
  <si>
    <t>55E</t>
  </si>
  <si>
    <t>56E</t>
  </si>
  <si>
    <t>Blank_wash</t>
  </si>
  <si>
    <t>B1E</t>
  </si>
  <si>
    <t>B2E</t>
  </si>
  <si>
    <t>B3E</t>
  </si>
  <si>
    <t>B4E</t>
  </si>
  <si>
    <t>leaf_endo</t>
  </si>
  <si>
    <t>leaf</t>
  </si>
  <si>
    <t>1L</t>
  </si>
  <si>
    <t>2L</t>
  </si>
  <si>
    <t>3L</t>
  </si>
  <si>
    <t>4L</t>
  </si>
  <si>
    <t>5L</t>
  </si>
  <si>
    <t>6L</t>
  </si>
  <si>
    <t>7L</t>
  </si>
  <si>
    <t>8L</t>
  </si>
  <si>
    <t>9L</t>
  </si>
  <si>
    <t>10L</t>
  </si>
  <si>
    <t>11L</t>
  </si>
  <si>
    <t>12L</t>
  </si>
  <si>
    <t>13L</t>
  </si>
  <si>
    <t>14L</t>
  </si>
  <si>
    <t>15L</t>
  </si>
  <si>
    <t>16L</t>
  </si>
  <si>
    <t>17L</t>
  </si>
  <si>
    <t>18L</t>
  </si>
  <si>
    <t>19L</t>
  </si>
  <si>
    <t>20L</t>
  </si>
  <si>
    <t>21L</t>
  </si>
  <si>
    <t>22L</t>
  </si>
  <si>
    <t>23L</t>
  </si>
  <si>
    <t>24L</t>
  </si>
  <si>
    <t>25L</t>
  </si>
  <si>
    <t>26L</t>
  </si>
  <si>
    <t>27L</t>
  </si>
  <si>
    <t>28L</t>
  </si>
  <si>
    <t>29L</t>
  </si>
  <si>
    <t>30L</t>
  </si>
  <si>
    <t>31L</t>
  </si>
  <si>
    <t>32L</t>
  </si>
  <si>
    <t>33L</t>
  </si>
  <si>
    <t>34L</t>
  </si>
  <si>
    <t>35L</t>
  </si>
  <si>
    <t>36L</t>
  </si>
  <si>
    <t>37L</t>
  </si>
  <si>
    <t>38L</t>
  </si>
  <si>
    <t>39L</t>
  </si>
  <si>
    <t>40L</t>
  </si>
  <si>
    <t>41L</t>
  </si>
  <si>
    <t>42L</t>
  </si>
  <si>
    <t>43L</t>
  </si>
  <si>
    <t>44L</t>
  </si>
  <si>
    <t>45L</t>
  </si>
  <si>
    <t>46L</t>
  </si>
  <si>
    <t>47L</t>
  </si>
  <si>
    <t>48L</t>
  </si>
  <si>
    <t>49L</t>
  </si>
  <si>
    <t>50L</t>
  </si>
  <si>
    <t>51L</t>
  </si>
  <si>
    <t>52L</t>
  </si>
  <si>
    <t>53L</t>
  </si>
  <si>
    <t>54L</t>
  </si>
  <si>
    <t>55L</t>
  </si>
  <si>
    <t>56L</t>
  </si>
  <si>
    <t>Blank_endo</t>
  </si>
  <si>
    <t>B1L</t>
  </si>
  <si>
    <t>B2L</t>
  </si>
  <si>
    <t>B3L</t>
  </si>
  <si>
    <t>B4L</t>
  </si>
  <si>
    <t>Sample_DNA.xls</t>
  </si>
  <si>
    <t>DeNovix</t>
  </si>
  <si>
    <t>totalDNA_50ul</t>
  </si>
  <si>
    <t>pooled ng/ul</t>
  </si>
  <si>
    <t>16S</t>
  </si>
  <si>
    <t>pSPIKE-p1</t>
  </si>
  <si>
    <t>pSPIKE-p2</t>
  </si>
  <si>
    <t>ITS</t>
  </si>
  <si>
    <t>pSPIKE-f1</t>
  </si>
  <si>
    <t>pSPIKE-f2</t>
  </si>
  <si>
    <t>18S</t>
  </si>
  <si>
    <t>pSPIKE-e1</t>
  </si>
  <si>
    <t>pSPIKE-e2</t>
  </si>
  <si>
    <t>Region</t>
  </si>
  <si>
    <t>Plasmid_name</t>
  </si>
  <si>
    <t>Results from measurements of DNA concentration with the High Sensitivy DS-DeNovix kit of spike-In plasmids for bacteria, fungi and eukaryots. The two mini-preps were pooled and sent for sequencing.</t>
  </si>
  <si>
    <t>Plasmids</t>
  </si>
  <si>
    <t>Plasmid_concentration_16_07_26.xls</t>
  </si>
  <si>
    <t>Results/Plasmids_Spike_In</t>
  </si>
  <si>
    <t>Leaf_FW</t>
  </si>
  <si>
    <t>Batch</t>
  </si>
  <si>
    <t>Contaminated with sample 26</t>
  </si>
  <si>
    <t>Sequencing/Glycerol</t>
  </si>
  <si>
    <t>Not for DNA extraction, only 1 adult</t>
  </si>
  <si>
    <t>No Sequencing</t>
  </si>
  <si>
    <t>Weight tube_empty</t>
  </si>
  <si>
    <t>G</t>
  </si>
  <si>
    <t>Intended for glycerol but left as extra just in case</t>
  </si>
  <si>
    <t>Falcon _empty_g</t>
  </si>
  <si>
    <t>Falcon_wleaf_g</t>
  </si>
  <si>
    <t>Leaf_DNAeasy_g</t>
  </si>
  <si>
    <t>NA</t>
  </si>
  <si>
    <t xml:space="preserve">Results from measurements of Leaf Weights, empty Falcon tubes, Falcon tubes with leaf and amount of ground leaf weighed into PowerSoil DNAeasy kit for DNA extraction </t>
  </si>
  <si>
    <t>DeNovix_ng_ul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</si>
</sst>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3" borderId="0" xfId="0" applyFont="1" applyFill="1"/>
    <xf numFmtId="14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/>
    <xf numFmtId="0" fontId="1" fillId="5" borderId="0" xfId="0" applyFont="1" applyFill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0" fillId="0" borderId="2" xfId="0" applyBorder="1"/>
    <xf numFmtId="0" fontId="2" fillId="0" borderId="3" xfId="0" applyFont="1" applyBorder="1"/>
    <xf numFmtId="0" fontId="0" fillId="0" borderId="3" xfId="0" applyBorder="1"/>
    <xf numFmtId="0" fontId="2" fillId="0" borderId="1" xfId="0" applyFont="1" applyBorder="1"/>
    <xf numFmtId="0" fontId="0" fillId="0" borderId="1" xfId="0" applyBorder="1"/>
    <xf numFmtId="0" fontId="1" fillId="6" borderId="0" xfId="0" applyFont="1" applyFill="1"/>
    <xf numFmtId="0" fontId="0" fillId="0" borderId="4" xfId="0" applyBorder="1"/>
    <xf numFmtId="0" fontId="0" fillId="0" borderId="0" xfId="0" quotePrefix="1"/>
    <xf numFmtId="0" fontId="3" fillId="3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1" applyAlignment="1">
      <alignment horizontal="left"/>
    </xf>
    <xf numFmtId="3" fontId="0" fillId="0" borderId="0" xfId="0" applyNumberFormat="1" applyAlignment="1">
      <alignment horizontal="center"/>
    </xf>
    <xf numFmtId="0" fontId="1" fillId="7" borderId="0" xfId="0" applyFont="1" applyFill="1"/>
    <xf numFmtId="0" fontId="1" fillId="8" borderId="0" xfId="0" applyFont="1" applyFill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9" borderId="0" xfId="0" applyFont="1" applyFill="1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hmaterialmedico.com/en/omnifix-50-ml-luer-lock-syringe-without-latex-box-of-100?srsltid=AfmBOopSF5wcwUj6UhlyzPsCS4Al53yoTEKjFNiS64O3iZE8FHh8RqO4" TargetMode="External"/><Relationship Id="rId2" Type="http://schemas.openxmlformats.org/officeDocument/2006/relationships/hyperlink" Target="https://www.sigmaaldrich.com/NL/en/product/mm/gttp02500" TargetMode="External"/><Relationship Id="rId1" Type="http://schemas.openxmlformats.org/officeDocument/2006/relationships/hyperlink" Target="https://www.sigmaaldrich.com/NL/en/product/mm/sx0002500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1E55-FF86-49C6-9F12-FCECD7AB4678}">
  <dimension ref="B1:Z15"/>
  <sheetViews>
    <sheetView workbookViewId="0">
      <selection activeCell="H19" sqref="H19"/>
    </sheetView>
  </sheetViews>
  <sheetFormatPr defaultRowHeight="15" x14ac:dyDescent="0.25"/>
  <cols>
    <col min="1" max="1" width="13.85546875" customWidth="1"/>
    <col min="2" max="2" width="21" customWidth="1"/>
    <col min="21" max="21" width="21.42578125" customWidth="1"/>
    <col min="25" max="25" width="13.42578125" customWidth="1"/>
  </cols>
  <sheetData>
    <row r="1" spans="2:26" s="2" customFormat="1" x14ac:dyDescent="0.25">
      <c r="B1" s="2" t="s">
        <v>12</v>
      </c>
      <c r="C1" s="2" t="s">
        <v>13</v>
      </c>
      <c r="V1" s="2" t="s">
        <v>9</v>
      </c>
      <c r="Z1" s="2" t="s">
        <v>10</v>
      </c>
    </row>
    <row r="2" spans="2:26" x14ac:dyDescent="0.25">
      <c r="B2" s="3" t="s">
        <v>287</v>
      </c>
      <c r="C2" t="s">
        <v>288</v>
      </c>
      <c r="V2" t="s">
        <v>61</v>
      </c>
      <c r="Z2" t="s">
        <v>11</v>
      </c>
    </row>
    <row r="3" spans="2:26" x14ac:dyDescent="0.25">
      <c r="B3" s="6" t="s">
        <v>289</v>
      </c>
      <c r="C3" t="s">
        <v>290</v>
      </c>
      <c r="V3" t="s">
        <v>60</v>
      </c>
      <c r="Z3" t="s">
        <v>62</v>
      </c>
    </row>
    <row r="4" spans="2:26" x14ac:dyDescent="0.25">
      <c r="B4" s="10" t="s">
        <v>63</v>
      </c>
      <c r="C4" t="s">
        <v>89</v>
      </c>
    </row>
    <row r="5" spans="2:26" x14ac:dyDescent="0.25">
      <c r="B5" s="10" t="s">
        <v>64</v>
      </c>
      <c r="C5" t="s">
        <v>90</v>
      </c>
    </row>
    <row r="6" spans="2:26" x14ac:dyDescent="0.25">
      <c r="B6" s="10" t="s">
        <v>65</v>
      </c>
      <c r="C6" t="s">
        <v>91</v>
      </c>
    </row>
    <row r="7" spans="2:26" x14ac:dyDescent="0.25">
      <c r="B7" s="10" t="s">
        <v>66</v>
      </c>
      <c r="C7" t="s">
        <v>92</v>
      </c>
      <c r="V7" t="s">
        <v>93</v>
      </c>
      <c r="Z7" t="s">
        <v>62</v>
      </c>
    </row>
    <row r="8" spans="2:26" x14ac:dyDescent="0.25">
      <c r="B8" s="11" t="s">
        <v>236</v>
      </c>
      <c r="C8" t="s">
        <v>98</v>
      </c>
      <c r="V8" t="s">
        <v>99</v>
      </c>
      <c r="Z8" t="s">
        <v>243</v>
      </c>
    </row>
    <row r="9" spans="2:26" x14ac:dyDescent="0.25">
      <c r="B9" s="19" t="s">
        <v>240</v>
      </c>
      <c r="C9" t="s">
        <v>228</v>
      </c>
      <c r="V9" t="s">
        <v>229</v>
      </c>
      <c r="Z9" t="s">
        <v>62</v>
      </c>
    </row>
    <row r="10" spans="2:26" x14ac:dyDescent="0.25">
      <c r="B10" s="19" t="s">
        <v>237</v>
      </c>
      <c r="C10" s="21" t="s">
        <v>242</v>
      </c>
      <c r="V10" t="s">
        <v>230</v>
      </c>
      <c r="Z10" t="s">
        <v>62</v>
      </c>
    </row>
    <row r="11" spans="2:26" x14ac:dyDescent="0.25">
      <c r="B11" s="19" t="s">
        <v>235</v>
      </c>
      <c r="C11" s="21" t="s">
        <v>241</v>
      </c>
      <c r="V11" t="s">
        <v>238</v>
      </c>
      <c r="Z11" t="s">
        <v>239</v>
      </c>
    </row>
    <row r="12" spans="2:26" x14ac:dyDescent="0.25">
      <c r="B12" s="6" t="s">
        <v>291</v>
      </c>
      <c r="C12" t="s">
        <v>292</v>
      </c>
      <c r="V12" t="s">
        <v>293</v>
      </c>
      <c r="Z12" t="s">
        <v>294</v>
      </c>
    </row>
    <row r="13" spans="2:26" x14ac:dyDescent="0.25">
      <c r="B13" s="26" t="s">
        <v>295</v>
      </c>
      <c r="C13" t="s">
        <v>296</v>
      </c>
      <c r="V13" t="s">
        <v>436</v>
      </c>
      <c r="Z13" t="s">
        <v>294</v>
      </c>
    </row>
    <row r="14" spans="2:26" x14ac:dyDescent="0.25">
      <c r="B14" s="27" t="s">
        <v>452</v>
      </c>
      <c r="C14" t="s">
        <v>451</v>
      </c>
      <c r="V14" t="s">
        <v>453</v>
      </c>
      <c r="Z14" t="s">
        <v>454</v>
      </c>
    </row>
    <row r="15" spans="2:26" x14ac:dyDescent="0.25">
      <c r="B15" s="32" t="s">
        <v>455</v>
      </c>
      <c r="C15" t="s">
        <v>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3C0C-4243-4C57-8FB1-D815969CF96F}">
  <sheetPr>
    <tabColor theme="7"/>
  </sheetPr>
  <dimension ref="A1:F61"/>
  <sheetViews>
    <sheetView workbookViewId="0">
      <selection activeCell="J62" sqref="J62"/>
    </sheetView>
  </sheetViews>
  <sheetFormatPr defaultRowHeight="15" x14ac:dyDescent="0.25"/>
  <cols>
    <col min="2" max="2" width="8.85546875" style="4"/>
    <col min="3" max="3" width="12.85546875" style="4" customWidth="1"/>
    <col min="4" max="4" width="8.28515625" style="4" customWidth="1"/>
    <col min="5" max="5" width="8.140625" style="4" customWidth="1"/>
    <col min="6" max="6" width="8.85546875" style="4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233</v>
      </c>
    </row>
    <row r="2" spans="1:6" x14ac:dyDescent="0.25">
      <c r="A2">
        <v>1</v>
      </c>
      <c r="B2" s="4">
        <v>1</v>
      </c>
      <c r="C2" s="4" t="s">
        <v>5</v>
      </c>
      <c r="D2" s="4">
        <v>1</v>
      </c>
      <c r="E2" s="4">
        <v>1</v>
      </c>
    </row>
    <row r="3" spans="1:6" x14ac:dyDescent="0.25">
      <c r="A3">
        <v>2</v>
      </c>
      <c r="B3" s="4">
        <v>1</v>
      </c>
      <c r="C3" s="4" t="s">
        <v>6</v>
      </c>
      <c r="D3" s="4">
        <v>1</v>
      </c>
      <c r="E3" s="4">
        <v>2</v>
      </c>
    </row>
    <row r="4" spans="1:6" x14ac:dyDescent="0.25">
      <c r="A4">
        <v>3</v>
      </c>
      <c r="B4" s="4">
        <v>1</v>
      </c>
      <c r="C4" s="4" t="s">
        <v>7</v>
      </c>
      <c r="D4" s="4">
        <v>1</v>
      </c>
      <c r="E4" s="4">
        <v>3</v>
      </c>
    </row>
    <row r="5" spans="1:6" x14ac:dyDescent="0.25">
      <c r="A5">
        <v>4</v>
      </c>
      <c r="B5" s="4">
        <v>1</v>
      </c>
      <c r="C5" s="4" t="s">
        <v>8</v>
      </c>
      <c r="D5" s="4">
        <v>1</v>
      </c>
      <c r="E5" s="4">
        <v>4</v>
      </c>
    </row>
    <row r="6" spans="1:6" x14ac:dyDescent="0.25">
      <c r="A6">
        <v>5</v>
      </c>
      <c r="B6" s="4">
        <v>2</v>
      </c>
      <c r="C6" s="4" t="s">
        <v>6</v>
      </c>
      <c r="D6" s="4">
        <v>1</v>
      </c>
      <c r="E6" s="4">
        <v>1</v>
      </c>
    </row>
    <row r="7" spans="1:6" x14ac:dyDescent="0.25">
      <c r="A7">
        <v>6</v>
      </c>
      <c r="B7" s="4">
        <v>2</v>
      </c>
      <c r="C7" s="4" t="s">
        <v>8</v>
      </c>
      <c r="D7" s="4">
        <v>1</v>
      </c>
      <c r="E7" s="4">
        <v>2</v>
      </c>
    </row>
    <row r="8" spans="1:6" x14ac:dyDescent="0.25">
      <c r="A8">
        <v>7</v>
      </c>
      <c r="B8" s="4">
        <v>2</v>
      </c>
      <c r="C8" s="4" t="s">
        <v>7</v>
      </c>
      <c r="D8" s="4">
        <v>1</v>
      </c>
      <c r="E8" s="4">
        <v>3</v>
      </c>
    </row>
    <row r="9" spans="1:6" x14ac:dyDescent="0.25">
      <c r="A9">
        <v>8</v>
      </c>
      <c r="B9" s="4">
        <v>2</v>
      </c>
      <c r="C9" s="4" t="s">
        <v>5</v>
      </c>
      <c r="D9" s="4">
        <v>1</v>
      </c>
      <c r="E9" s="4">
        <v>4</v>
      </c>
    </row>
    <row r="10" spans="1:6" x14ac:dyDescent="0.25">
      <c r="A10">
        <v>9</v>
      </c>
      <c r="B10" s="4">
        <v>3</v>
      </c>
      <c r="C10" s="4" t="s">
        <v>7</v>
      </c>
      <c r="D10" s="4">
        <v>1</v>
      </c>
      <c r="E10" s="4">
        <v>1</v>
      </c>
    </row>
    <row r="11" spans="1:6" x14ac:dyDescent="0.25">
      <c r="A11">
        <v>10</v>
      </c>
      <c r="B11" s="4">
        <v>3</v>
      </c>
      <c r="C11" s="4" t="s">
        <v>8</v>
      </c>
      <c r="D11" s="4">
        <v>1</v>
      </c>
      <c r="E11" s="4">
        <v>2</v>
      </c>
    </row>
    <row r="12" spans="1:6" x14ac:dyDescent="0.25">
      <c r="A12">
        <v>11</v>
      </c>
      <c r="B12" s="4">
        <v>3</v>
      </c>
      <c r="C12" s="4" t="s">
        <v>5</v>
      </c>
      <c r="D12" s="4">
        <v>1</v>
      </c>
      <c r="E12" s="4">
        <v>3</v>
      </c>
    </row>
    <row r="13" spans="1:6" x14ac:dyDescent="0.25">
      <c r="A13">
        <v>12</v>
      </c>
      <c r="B13" s="4">
        <v>3</v>
      </c>
      <c r="C13" s="4" t="s">
        <v>6</v>
      </c>
      <c r="D13" s="4">
        <v>1</v>
      </c>
      <c r="E13" s="4">
        <v>4</v>
      </c>
    </row>
    <row r="14" spans="1:6" x14ac:dyDescent="0.25">
      <c r="A14">
        <v>13</v>
      </c>
      <c r="B14" s="4">
        <v>4</v>
      </c>
      <c r="C14" s="4" t="s">
        <v>8</v>
      </c>
      <c r="D14" s="4">
        <v>1</v>
      </c>
      <c r="E14" s="4">
        <v>1</v>
      </c>
    </row>
    <row r="15" spans="1:6" x14ac:dyDescent="0.25">
      <c r="A15">
        <v>14</v>
      </c>
      <c r="B15" s="4">
        <v>4</v>
      </c>
      <c r="C15" s="4" t="s">
        <v>6</v>
      </c>
      <c r="D15" s="4">
        <v>1</v>
      </c>
      <c r="E15" s="4">
        <v>2</v>
      </c>
    </row>
    <row r="16" spans="1:6" x14ac:dyDescent="0.25">
      <c r="A16">
        <v>15</v>
      </c>
      <c r="B16" s="4">
        <v>4</v>
      </c>
      <c r="C16" s="4" t="s">
        <v>7</v>
      </c>
      <c r="D16" s="4">
        <v>1</v>
      </c>
      <c r="E16" s="4">
        <v>3</v>
      </c>
    </row>
    <row r="17" spans="1:5" x14ac:dyDescent="0.25">
      <c r="A17">
        <v>16</v>
      </c>
      <c r="B17" s="4">
        <v>4</v>
      </c>
      <c r="C17" s="4" t="s">
        <v>5</v>
      </c>
      <c r="D17" s="4">
        <v>1</v>
      </c>
      <c r="E17" s="4">
        <v>4</v>
      </c>
    </row>
    <row r="18" spans="1:5" x14ac:dyDescent="0.25">
      <c r="A18">
        <v>17</v>
      </c>
      <c r="B18" s="4">
        <v>5</v>
      </c>
      <c r="C18" s="4" t="s">
        <v>6</v>
      </c>
      <c r="D18" s="4">
        <v>1</v>
      </c>
      <c r="E18" s="4">
        <v>1</v>
      </c>
    </row>
    <row r="19" spans="1:5" x14ac:dyDescent="0.25">
      <c r="A19">
        <v>18</v>
      </c>
      <c r="B19" s="4">
        <v>5</v>
      </c>
      <c r="C19" s="4" t="s">
        <v>7</v>
      </c>
      <c r="D19" s="4">
        <v>1</v>
      </c>
      <c r="E19" s="4">
        <v>2</v>
      </c>
    </row>
    <row r="20" spans="1:5" x14ac:dyDescent="0.25">
      <c r="A20">
        <v>19</v>
      </c>
      <c r="B20" s="4">
        <v>5</v>
      </c>
      <c r="C20" s="4" t="s">
        <v>8</v>
      </c>
      <c r="D20" s="4">
        <v>1</v>
      </c>
      <c r="E20" s="4">
        <v>3</v>
      </c>
    </row>
    <row r="21" spans="1:5" x14ac:dyDescent="0.25">
      <c r="A21">
        <v>20</v>
      </c>
      <c r="B21" s="4">
        <v>5</v>
      </c>
      <c r="C21" s="4" t="s">
        <v>5</v>
      </c>
      <c r="D21" s="4">
        <v>1</v>
      </c>
      <c r="E21" s="4">
        <v>4</v>
      </c>
    </row>
    <row r="22" spans="1:5" x14ac:dyDescent="0.25">
      <c r="A22">
        <v>21</v>
      </c>
      <c r="B22" s="4">
        <v>6</v>
      </c>
      <c r="C22" s="4" t="s">
        <v>5</v>
      </c>
      <c r="D22" s="4">
        <v>1</v>
      </c>
      <c r="E22" s="4">
        <v>1</v>
      </c>
    </row>
    <row r="23" spans="1:5" x14ac:dyDescent="0.25">
      <c r="A23">
        <v>22</v>
      </c>
      <c r="B23" s="4">
        <v>6</v>
      </c>
      <c r="C23" s="4" t="s">
        <v>7</v>
      </c>
      <c r="D23" s="4">
        <v>1</v>
      </c>
      <c r="E23" s="4">
        <v>2</v>
      </c>
    </row>
    <row r="24" spans="1:5" x14ac:dyDescent="0.25">
      <c r="A24">
        <v>23</v>
      </c>
      <c r="B24" s="4">
        <v>6</v>
      </c>
      <c r="C24" s="4" t="s">
        <v>8</v>
      </c>
      <c r="D24" s="4">
        <v>1</v>
      </c>
      <c r="E24" s="4">
        <v>3</v>
      </c>
    </row>
    <row r="25" spans="1:5" x14ac:dyDescent="0.25">
      <c r="A25">
        <v>24</v>
      </c>
      <c r="B25" s="4">
        <v>6</v>
      </c>
      <c r="C25" s="4" t="s">
        <v>6</v>
      </c>
      <c r="D25" s="4">
        <v>1</v>
      </c>
      <c r="E25" s="4">
        <v>4</v>
      </c>
    </row>
    <row r="26" spans="1:5" x14ac:dyDescent="0.25">
      <c r="A26">
        <v>25</v>
      </c>
      <c r="B26" s="4">
        <v>7</v>
      </c>
      <c r="C26" s="4" t="s">
        <v>7</v>
      </c>
      <c r="D26" s="4">
        <v>1</v>
      </c>
      <c r="E26" s="4">
        <v>1</v>
      </c>
    </row>
    <row r="27" spans="1:5" x14ac:dyDescent="0.25">
      <c r="A27">
        <v>26</v>
      </c>
      <c r="B27" s="4">
        <v>7</v>
      </c>
      <c r="C27" s="4" t="s">
        <v>6</v>
      </c>
      <c r="D27" s="4">
        <v>1</v>
      </c>
      <c r="E27" s="4">
        <v>2</v>
      </c>
    </row>
    <row r="28" spans="1:5" x14ac:dyDescent="0.25">
      <c r="A28">
        <v>27</v>
      </c>
      <c r="B28" s="4">
        <v>7</v>
      </c>
      <c r="C28" s="4" t="s">
        <v>8</v>
      </c>
      <c r="D28" s="4">
        <v>1</v>
      </c>
      <c r="E28" s="4">
        <v>3</v>
      </c>
    </row>
    <row r="29" spans="1:5" x14ac:dyDescent="0.25">
      <c r="A29">
        <v>28</v>
      </c>
      <c r="B29" s="4">
        <v>7</v>
      </c>
      <c r="C29" s="4" t="s">
        <v>5</v>
      </c>
      <c r="D29" s="4">
        <v>1</v>
      </c>
      <c r="E29" s="4">
        <v>4</v>
      </c>
    </row>
    <row r="30" spans="1:5" x14ac:dyDescent="0.25">
      <c r="A30">
        <v>29</v>
      </c>
      <c r="B30" s="4">
        <v>8</v>
      </c>
      <c r="C30" s="4" t="s">
        <v>5</v>
      </c>
      <c r="D30" s="4">
        <v>1</v>
      </c>
      <c r="E30" s="4">
        <v>1</v>
      </c>
    </row>
    <row r="31" spans="1:5" x14ac:dyDescent="0.25">
      <c r="A31">
        <v>30</v>
      </c>
      <c r="B31" s="4">
        <v>8</v>
      </c>
      <c r="C31" s="4" t="s">
        <v>8</v>
      </c>
      <c r="D31" s="4">
        <v>1</v>
      </c>
      <c r="E31" s="4">
        <v>2</v>
      </c>
    </row>
    <row r="32" spans="1:5" x14ac:dyDescent="0.25">
      <c r="A32">
        <v>31</v>
      </c>
      <c r="B32" s="4">
        <v>8</v>
      </c>
      <c r="C32" s="4" t="s">
        <v>6</v>
      </c>
      <c r="D32" s="4">
        <v>1</v>
      </c>
      <c r="E32" s="4">
        <v>3</v>
      </c>
    </row>
    <row r="33" spans="1:6" x14ac:dyDescent="0.25">
      <c r="A33">
        <v>32</v>
      </c>
      <c r="B33" s="4">
        <v>8</v>
      </c>
      <c r="C33" s="4" t="s">
        <v>7</v>
      </c>
      <c r="D33" s="4">
        <v>1</v>
      </c>
      <c r="E33" s="4">
        <v>4</v>
      </c>
    </row>
    <row r="34" spans="1:6" x14ac:dyDescent="0.25">
      <c r="A34">
        <v>33</v>
      </c>
      <c r="B34" s="4">
        <v>9</v>
      </c>
      <c r="C34" s="4" t="s">
        <v>8</v>
      </c>
      <c r="D34" s="4">
        <v>1</v>
      </c>
      <c r="E34" s="4">
        <v>1</v>
      </c>
    </row>
    <row r="35" spans="1:6" x14ac:dyDescent="0.25">
      <c r="A35">
        <v>34</v>
      </c>
      <c r="B35" s="4">
        <v>9</v>
      </c>
      <c r="C35" s="4" t="s">
        <v>6</v>
      </c>
      <c r="D35" s="4">
        <v>1</v>
      </c>
      <c r="E35" s="4">
        <v>2</v>
      </c>
    </row>
    <row r="36" spans="1:6" x14ac:dyDescent="0.25">
      <c r="A36">
        <v>35</v>
      </c>
      <c r="B36" s="4">
        <v>9</v>
      </c>
      <c r="C36" s="4" t="s">
        <v>7</v>
      </c>
      <c r="D36" s="4">
        <v>1</v>
      </c>
      <c r="E36" s="4">
        <v>3</v>
      </c>
    </row>
    <row r="37" spans="1:6" x14ac:dyDescent="0.25">
      <c r="A37">
        <v>36</v>
      </c>
      <c r="B37" s="4">
        <v>9</v>
      </c>
      <c r="C37" s="4" t="s">
        <v>5</v>
      </c>
      <c r="D37" s="4">
        <v>1</v>
      </c>
      <c r="E37" s="4">
        <v>4</v>
      </c>
    </row>
    <row r="38" spans="1:6" x14ac:dyDescent="0.25">
      <c r="A38">
        <v>37</v>
      </c>
      <c r="B38" s="4">
        <v>10</v>
      </c>
      <c r="C38" s="4" t="s">
        <v>7</v>
      </c>
      <c r="D38" s="4">
        <v>1</v>
      </c>
      <c r="E38" s="4">
        <v>1</v>
      </c>
    </row>
    <row r="39" spans="1:6" x14ac:dyDescent="0.25">
      <c r="A39">
        <v>38</v>
      </c>
      <c r="B39" s="4">
        <v>10</v>
      </c>
      <c r="C39" s="4" t="s">
        <v>6</v>
      </c>
      <c r="D39" s="4">
        <v>1</v>
      </c>
      <c r="E39" s="4">
        <v>2</v>
      </c>
    </row>
    <row r="40" spans="1:6" x14ac:dyDescent="0.25">
      <c r="A40">
        <v>39</v>
      </c>
      <c r="B40" s="4">
        <v>10</v>
      </c>
      <c r="C40" s="4" t="s">
        <v>8</v>
      </c>
      <c r="D40" s="4">
        <v>1</v>
      </c>
      <c r="E40" s="4">
        <v>3</v>
      </c>
    </row>
    <row r="41" spans="1:6" x14ac:dyDescent="0.25">
      <c r="A41">
        <v>40</v>
      </c>
      <c r="B41" s="4">
        <v>10</v>
      </c>
      <c r="C41" s="4" t="s">
        <v>5</v>
      </c>
      <c r="D41" s="4">
        <v>1</v>
      </c>
      <c r="E41" s="4">
        <v>4</v>
      </c>
    </row>
    <row r="42" spans="1:6" x14ac:dyDescent="0.25">
      <c r="A42">
        <v>41</v>
      </c>
      <c r="B42" s="4">
        <v>11</v>
      </c>
      <c r="C42" s="4" t="s">
        <v>6</v>
      </c>
      <c r="D42" s="4">
        <v>1</v>
      </c>
      <c r="E42" s="4">
        <v>1</v>
      </c>
    </row>
    <row r="43" spans="1:6" x14ac:dyDescent="0.25">
      <c r="A43">
        <v>42</v>
      </c>
      <c r="B43" s="4">
        <v>11</v>
      </c>
      <c r="C43" s="4" t="s">
        <v>7</v>
      </c>
      <c r="D43" s="4">
        <v>1</v>
      </c>
      <c r="E43" s="4">
        <v>2</v>
      </c>
    </row>
    <row r="44" spans="1:6" x14ac:dyDescent="0.25">
      <c r="A44">
        <v>43</v>
      </c>
      <c r="B44" s="4">
        <v>11</v>
      </c>
      <c r="C44" s="4" t="s">
        <v>5</v>
      </c>
      <c r="D44" s="4">
        <v>1</v>
      </c>
      <c r="E44" s="4">
        <v>3</v>
      </c>
    </row>
    <row r="45" spans="1:6" x14ac:dyDescent="0.25">
      <c r="A45">
        <v>44</v>
      </c>
      <c r="B45" s="4">
        <v>11</v>
      </c>
      <c r="C45" s="4" t="s">
        <v>8</v>
      </c>
      <c r="D45" s="4">
        <v>1</v>
      </c>
      <c r="E45" s="4">
        <v>4</v>
      </c>
    </row>
    <row r="46" spans="1:6" x14ac:dyDescent="0.25">
      <c r="A46">
        <v>45</v>
      </c>
      <c r="B46" s="4">
        <v>12</v>
      </c>
      <c r="C46" s="4" t="s">
        <v>7</v>
      </c>
      <c r="D46" s="4">
        <v>1</v>
      </c>
      <c r="E46" s="4">
        <v>1</v>
      </c>
    </row>
    <row r="47" spans="1:6" x14ac:dyDescent="0.25">
      <c r="A47">
        <v>46</v>
      </c>
      <c r="B47" s="4">
        <v>12</v>
      </c>
      <c r="C47" s="4" t="s">
        <v>6</v>
      </c>
      <c r="D47" s="4">
        <v>1</v>
      </c>
      <c r="E47" s="4">
        <v>2</v>
      </c>
    </row>
    <row r="48" spans="1:6" x14ac:dyDescent="0.25">
      <c r="A48">
        <v>47</v>
      </c>
      <c r="B48" s="4">
        <v>12</v>
      </c>
      <c r="C48" s="4" t="s">
        <v>5</v>
      </c>
      <c r="D48" s="4">
        <v>1</v>
      </c>
      <c r="E48" s="4">
        <v>3</v>
      </c>
      <c r="F48" s="4">
        <v>1</v>
      </c>
    </row>
    <row r="49" spans="1:6" x14ac:dyDescent="0.25">
      <c r="A49">
        <v>48</v>
      </c>
      <c r="B49" s="4">
        <v>12</v>
      </c>
      <c r="C49" s="4" t="s">
        <v>8</v>
      </c>
      <c r="D49" s="4">
        <v>1</v>
      </c>
      <c r="E49" s="4">
        <v>4</v>
      </c>
    </row>
    <row r="50" spans="1:6" x14ac:dyDescent="0.25">
      <c r="A50">
        <v>49</v>
      </c>
      <c r="B50" s="4">
        <v>13</v>
      </c>
      <c r="C50" s="4" t="s">
        <v>6</v>
      </c>
      <c r="D50" s="4">
        <v>1</v>
      </c>
      <c r="E50" s="4">
        <v>1</v>
      </c>
    </row>
    <row r="51" spans="1:6" x14ac:dyDescent="0.25">
      <c r="A51">
        <v>50</v>
      </c>
      <c r="B51" s="4">
        <v>13</v>
      </c>
      <c r="C51" s="4" t="s">
        <v>8</v>
      </c>
      <c r="D51" s="4">
        <v>1</v>
      </c>
      <c r="E51" s="4">
        <v>2</v>
      </c>
      <c r="F51" s="4">
        <v>1</v>
      </c>
    </row>
    <row r="52" spans="1:6" x14ac:dyDescent="0.25">
      <c r="A52">
        <v>51</v>
      </c>
      <c r="B52" s="4">
        <v>13</v>
      </c>
      <c r="C52" s="4" t="s">
        <v>7</v>
      </c>
      <c r="D52" s="4">
        <v>1</v>
      </c>
      <c r="E52" s="4">
        <v>3</v>
      </c>
      <c r="F52" s="4">
        <v>1</v>
      </c>
    </row>
    <row r="53" spans="1:6" x14ac:dyDescent="0.25">
      <c r="A53">
        <v>52</v>
      </c>
      <c r="B53" s="4">
        <v>13</v>
      </c>
      <c r="C53" s="4" t="s">
        <v>5</v>
      </c>
      <c r="D53" s="4">
        <v>1</v>
      </c>
      <c r="E53" s="4">
        <v>4</v>
      </c>
    </row>
    <row r="54" spans="1:6" x14ac:dyDescent="0.25">
      <c r="A54">
        <v>53</v>
      </c>
      <c r="B54" s="4">
        <v>14</v>
      </c>
      <c r="C54" s="4" t="s">
        <v>6</v>
      </c>
      <c r="D54" s="4">
        <v>1</v>
      </c>
      <c r="E54" s="4">
        <v>1</v>
      </c>
      <c r="F54" s="4">
        <v>1</v>
      </c>
    </row>
    <row r="55" spans="1:6" x14ac:dyDescent="0.25">
      <c r="A55">
        <v>54</v>
      </c>
      <c r="B55" s="4">
        <v>14</v>
      </c>
      <c r="C55" s="4" t="s">
        <v>5</v>
      </c>
      <c r="D55" s="4">
        <v>1</v>
      </c>
      <c r="E55" s="4">
        <v>2</v>
      </c>
      <c r="F55" s="4">
        <v>1</v>
      </c>
    </row>
    <row r="56" spans="1:6" x14ac:dyDescent="0.25">
      <c r="A56">
        <v>55</v>
      </c>
      <c r="B56" s="4">
        <v>14</v>
      </c>
      <c r="C56" s="4" t="s">
        <v>8</v>
      </c>
      <c r="D56" s="4">
        <v>1</v>
      </c>
      <c r="E56" s="4">
        <v>3</v>
      </c>
      <c r="F56" s="4">
        <v>1</v>
      </c>
    </row>
    <row r="57" spans="1:6" x14ac:dyDescent="0.25">
      <c r="A57">
        <v>56</v>
      </c>
      <c r="B57" s="4">
        <v>14</v>
      </c>
      <c r="C57" s="4" t="s">
        <v>7</v>
      </c>
      <c r="D57" s="4">
        <v>1</v>
      </c>
      <c r="E57" s="4">
        <v>4</v>
      </c>
    </row>
    <row r="58" spans="1:6" x14ac:dyDescent="0.25">
      <c r="A58">
        <v>57</v>
      </c>
      <c r="B58" s="4" t="s">
        <v>69</v>
      </c>
      <c r="C58" s="4" t="s">
        <v>69</v>
      </c>
      <c r="D58" s="4" t="s">
        <v>69</v>
      </c>
      <c r="E58" s="4" t="s">
        <v>69</v>
      </c>
    </row>
    <row r="59" spans="1:6" x14ac:dyDescent="0.25">
      <c r="A59">
        <v>58</v>
      </c>
      <c r="B59" s="4" t="s">
        <v>69</v>
      </c>
      <c r="C59" s="4" t="s">
        <v>69</v>
      </c>
      <c r="D59" s="4" t="s">
        <v>69</v>
      </c>
      <c r="E59" s="4" t="s">
        <v>69</v>
      </c>
    </row>
    <row r="60" spans="1:6" x14ac:dyDescent="0.25">
      <c r="A60">
        <v>59</v>
      </c>
      <c r="B60" s="4" t="s">
        <v>69</v>
      </c>
      <c r="C60" s="4" t="s">
        <v>69</v>
      </c>
      <c r="D60" s="4" t="s">
        <v>69</v>
      </c>
      <c r="E60" s="4" t="s">
        <v>69</v>
      </c>
    </row>
    <row r="61" spans="1:6" x14ac:dyDescent="0.25">
      <c r="A61">
        <v>60</v>
      </c>
      <c r="B61" s="4" t="s">
        <v>69</v>
      </c>
      <c r="C61" s="4" t="s">
        <v>69</v>
      </c>
      <c r="D61" s="4" t="s">
        <v>69</v>
      </c>
      <c r="E61" s="4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74CB-907B-41AD-AFA3-4CDC13D331B3}">
  <sheetPr>
    <tabColor theme="9"/>
  </sheetPr>
  <dimension ref="A1:T59"/>
  <sheetViews>
    <sheetView zoomScale="90" zoomScaleNormal="90" workbookViewId="0">
      <selection activeCell="S24" sqref="S24"/>
    </sheetView>
  </sheetViews>
  <sheetFormatPr defaultRowHeight="15" x14ac:dyDescent="0.25"/>
  <cols>
    <col min="1" max="2" width="9.140625" style="4"/>
    <col min="3" max="3" width="13.85546875" style="4" customWidth="1"/>
    <col min="4" max="4" width="12.85546875" style="4" customWidth="1"/>
    <col min="5" max="5" width="10" customWidth="1"/>
    <col min="6" max="6" width="11.42578125" customWidth="1"/>
    <col min="7" max="7" width="9.42578125" customWidth="1"/>
    <col min="13" max="13" width="19" style="4" customWidth="1"/>
    <col min="14" max="14" width="13.28515625" style="4" customWidth="1"/>
    <col min="15" max="15" width="11.140625" style="4" customWidth="1"/>
    <col min="16" max="16" width="22.7109375" style="4" customWidth="1"/>
    <col min="17" max="17" width="9.140625" style="4"/>
    <col min="18" max="18" width="14.140625" style="4" customWidth="1"/>
    <col min="19" max="19" width="50" style="4" customWidth="1"/>
    <col min="20" max="20" width="36.140625" customWidth="1"/>
  </cols>
  <sheetData>
    <row r="1" spans="1:20" x14ac:dyDescent="0.25">
      <c r="E1" s="1" t="s">
        <v>14</v>
      </c>
      <c r="F1" s="33" t="s">
        <v>15</v>
      </c>
      <c r="G1" s="33"/>
      <c r="H1" s="33"/>
      <c r="I1" s="33"/>
      <c r="J1" s="33"/>
      <c r="K1" s="33"/>
      <c r="P1" s="1" t="s">
        <v>16</v>
      </c>
      <c r="Q1" s="1">
        <f>SUM(Q4:Q5)</f>
        <v>60</v>
      </c>
    </row>
    <row r="2" spans="1:20" x14ac:dyDescent="0.25"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</row>
    <row r="3" spans="1:20" x14ac:dyDescent="0.25">
      <c r="A3" s="1" t="s">
        <v>0</v>
      </c>
      <c r="B3" s="1" t="s">
        <v>1</v>
      </c>
      <c r="C3" s="1" t="s">
        <v>2</v>
      </c>
      <c r="D3" s="1" t="s">
        <v>4</v>
      </c>
      <c r="E3" s="1" t="s">
        <v>24</v>
      </c>
      <c r="F3" s="1" t="s">
        <v>25</v>
      </c>
      <c r="G3" s="1" t="s">
        <v>26</v>
      </c>
      <c r="H3" s="1" t="s">
        <v>25</v>
      </c>
      <c r="I3" s="1" t="s">
        <v>27</v>
      </c>
      <c r="J3" s="1" t="s">
        <v>27</v>
      </c>
      <c r="K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  <c r="S3" s="1" t="s">
        <v>34</v>
      </c>
    </row>
    <row r="4" spans="1:20" x14ac:dyDescent="0.25">
      <c r="A4" s="4">
        <v>1</v>
      </c>
      <c r="B4" s="4">
        <v>1</v>
      </c>
      <c r="C4" s="4" t="s">
        <v>5</v>
      </c>
      <c r="D4" s="4">
        <v>1</v>
      </c>
      <c r="E4" s="4">
        <v>45</v>
      </c>
      <c r="F4" s="4">
        <v>45</v>
      </c>
      <c r="G4" s="4">
        <v>45</v>
      </c>
      <c r="H4" s="4">
        <v>45</v>
      </c>
      <c r="I4" s="4">
        <v>45</v>
      </c>
      <c r="J4" s="4">
        <v>45</v>
      </c>
      <c r="K4" s="4">
        <v>45</v>
      </c>
      <c r="M4" s="4" t="s">
        <v>14</v>
      </c>
      <c r="N4" s="4" t="s">
        <v>35</v>
      </c>
      <c r="O4" s="4" t="s">
        <v>36</v>
      </c>
      <c r="P4" s="4" t="s">
        <v>37</v>
      </c>
      <c r="Q4" s="4">
        <f>COUNT(A4:A59)</f>
        <v>56</v>
      </c>
      <c r="R4" s="4">
        <f>Q4*2</f>
        <v>112</v>
      </c>
      <c r="S4" s="5" t="s">
        <v>38</v>
      </c>
    </row>
    <row r="5" spans="1:20" x14ac:dyDescent="0.25">
      <c r="A5" s="4">
        <v>2</v>
      </c>
      <c r="B5" s="4">
        <v>1</v>
      </c>
      <c r="C5" s="4" t="s">
        <v>6</v>
      </c>
      <c r="D5" s="4">
        <v>2</v>
      </c>
      <c r="E5" s="4">
        <v>45</v>
      </c>
      <c r="F5" s="4">
        <v>45</v>
      </c>
      <c r="G5" s="4">
        <v>45</v>
      </c>
      <c r="H5" s="4">
        <v>45</v>
      </c>
      <c r="I5" s="4">
        <v>45</v>
      </c>
      <c r="J5" s="4">
        <v>45</v>
      </c>
      <c r="K5" s="4">
        <v>45</v>
      </c>
      <c r="M5" s="4" t="s">
        <v>14</v>
      </c>
      <c r="N5" s="4" t="s">
        <v>35</v>
      </c>
      <c r="O5" s="4" t="s">
        <v>39</v>
      </c>
      <c r="P5" s="4" t="s">
        <v>37</v>
      </c>
      <c r="Q5" s="4">
        <v>4</v>
      </c>
      <c r="R5" s="4">
        <f>Q5*2</f>
        <v>8</v>
      </c>
      <c r="S5" s="5" t="s">
        <v>40</v>
      </c>
    </row>
    <row r="6" spans="1:20" x14ac:dyDescent="0.25">
      <c r="A6" s="4">
        <v>3</v>
      </c>
      <c r="B6" s="4">
        <v>1</v>
      </c>
      <c r="C6" s="4" t="s">
        <v>7</v>
      </c>
      <c r="D6" s="4">
        <v>3</v>
      </c>
      <c r="E6" s="4">
        <v>45</v>
      </c>
      <c r="F6" s="4">
        <v>45</v>
      </c>
      <c r="G6" s="4">
        <v>45</v>
      </c>
      <c r="H6" s="4">
        <v>45</v>
      </c>
      <c r="I6" s="4">
        <v>45</v>
      </c>
      <c r="J6" s="4">
        <v>45</v>
      </c>
      <c r="K6" s="4">
        <v>45</v>
      </c>
      <c r="M6" s="4" t="s">
        <v>14</v>
      </c>
      <c r="N6" s="4" t="s">
        <v>35</v>
      </c>
      <c r="O6" s="4" t="s">
        <v>41</v>
      </c>
      <c r="P6" s="4" t="s">
        <v>42</v>
      </c>
      <c r="Q6" s="4">
        <f>45*Q1</f>
        <v>2700</v>
      </c>
      <c r="S6" s="5" t="s">
        <v>43</v>
      </c>
    </row>
    <row r="7" spans="1:20" x14ac:dyDescent="0.25">
      <c r="A7" s="4">
        <v>4</v>
      </c>
      <c r="B7" s="4">
        <v>1</v>
      </c>
      <c r="C7" s="4" t="s">
        <v>8</v>
      </c>
      <c r="D7" s="4">
        <v>4</v>
      </c>
      <c r="E7" s="4">
        <v>45</v>
      </c>
      <c r="F7" s="4">
        <v>45</v>
      </c>
      <c r="G7" s="4">
        <v>45</v>
      </c>
      <c r="H7" s="4">
        <v>45</v>
      </c>
      <c r="I7" s="4">
        <v>45</v>
      </c>
      <c r="J7" s="4">
        <v>45</v>
      </c>
      <c r="K7" s="4">
        <v>45</v>
      </c>
      <c r="M7" s="4" t="s">
        <v>14</v>
      </c>
      <c r="N7" s="4" t="s">
        <v>35</v>
      </c>
      <c r="O7" s="4" t="s">
        <v>44</v>
      </c>
      <c r="P7" s="4" t="s">
        <v>45</v>
      </c>
      <c r="Q7" s="4">
        <v>2</v>
      </c>
      <c r="R7" s="4">
        <f>Q7*16</f>
        <v>32</v>
      </c>
      <c r="S7" s="5" t="s">
        <v>46</v>
      </c>
    </row>
    <row r="8" spans="1:20" x14ac:dyDescent="0.25">
      <c r="A8" s="4">
        <v>5</v>
      </c>
      <c r="B8" s="4">
        <v>2</v>
      </c>
      <c r="C8" s="4" t="s">
        <v>6</v>
      </c>
      <c r="D8" s="4">
        <v>1</v>
      </c>
      <c r="E8" s="4">
        <v>45</v>
      </c>
      <c r="F8" s="4">
        <v>45</v>
      </c>
      <c r="G8" s="4">
        <v>45</v>
      </c>
      <c r="H8" s="4">
        <v>45</v>
      </c>
      <c r="I8" s="4">
        <v>45</v>
      </c>
      <c r="J8" s="4">
        <v>45</v>
      </c>
      <c r="K8" s="4">
        <v>45</v>
      </c>
      <c r="S8" s="5"/>
    </row>
    <row r="9" spans="1:20" x14ac:dyDescent="0.25">
      <c r="A9" s="4">
        <v>6</v>
      </c>
      <c r="B9" s="4">
        <v>2</v>
      </c>
      <c r="C9" s="4" t="s">
        <v>8</v>
      </c>
      <c r="D9" s="4">
        <v>2</v>
      </c>
      <c r="E9" s="4">
        <v>45</v>
      </c>
      <c r="F9" s="4">
        <v>45</v>
      </c>
      <c r="G9" s="4">
        <v>45</v>
      </c>
      <c r="H9" s="4">
        <v>45</v>
      </c>
      <c r="I9" s="4">
        <v>45</v>
      </c>
      <c r="J9" s="4">
        <v>45</v>
      </c>
      <c r="K9" s="4">
        <v>45</v>
      </c>
      <c r="M9" s="4" t="s">
        <v>47</v>
      </c>
      <c r="N9" s="4" t="s">
        <v>48</v>
      </c>
      <c r="O9" s="4" t="s">
        <v>41</v>
      </c>
      <c r="P9" s="4" t="s">
        <v>25</v>
      </c>
      <c r="Q9" s="4">
        <f>45*$Q$1</f>
        <v>2700</v>
      </c>
      <c r="R9" s="4">
        <f>Q9*2</f>
        <v>5400</v>
      </c>
      <c r="S9" s="5"/>
    </row>
    <row r="10" spans="1:20" x14ac:dyDescent="0.25">
      <c r="A10" s="4">
        <v>7</v>
      </c>
      <c r="B10" s="4">
        <v>2</v>
      </c>
      <c r="C10" s="4" t="s">
        <v>7</v>
      </c>
      <c r="D10" s="4">
        <v>3</v>
      </c>
      <c r="E10" s="4">
        <v>45</v>
      </c>
      <c r="F10" s="4">
        <v>45</v>
      </c>
      <c r="G10" s="4">
        <v>45</v>
      </c>
      <c r="H10" s="4">
        <v>45</v>
      </c>
      <c r="I10" s="4">
        <v>45</v>
      </c>
      <c r="J10" s="4">
        <v>45</v>
      </c>
      <c r="K10" s="4">
        <v>45</v>
      </c>
      <c r="M10" s="4" t="s">
        <v>47</v>
      </c>
      <c r="N10" s="4" t="s">
        <v>49</v>
      </c>
      <c r="O10" s="4" t="s">
        <v>41</v>
      </c>
      <c r="P10" s="4" t="s">
        <v>26</v>
      </c>
      <c r="Q10" s="4">
        <f>45*$Q$1</f>
        <v>2700</v>
      </c>
      <c r="S10" s="5"/>
      <c r="T10" s="4"/>
    </row>
    <row r="11" spans="1:20" x14ac:dyDescent="0.25">
      <c r="A11" s="4">
        <v>8</v>
      </c>
      <c r="B11" s="4">
        <v>2</v>
      </c>
      <c r="C11" s="4" t="s">
        <v>5</v>
      </c>
      <c r="D11" s="4">
        <v>4</v>
      </c>
      <c r="E11" s="4">
        <v>45</v>
      </c>
      <c r="F11" s="4">
        <v>45</v>
      </c>
      <c r="G11" s="4">
        <v>45</v>
      </c>
      <c r="H11" s="4">
        <v>45</v>
      </c>
      <c r="I11" s="4">
        <v>45</v>
      </c>
      <c r="J11" s="4">
        <v>45</v>
      </c>
      <c r="K11" s="4">
        <v>45</v>
      </c>
      <c r="M11" s="4" t="s">
        <v>47</v>
      </c>
      <c r="N11" s="4" t="s">
        <v>50</v>
      </c>
      <c r="O11" s="4" t="s">
        <v>41</v>
      </c>
      <c r="P11" s="4" t="s">
        <v>51</v>
      </c>
      <c r="Q11" s="4">
        <f>45*$Q$1</f>
        <v>2700</v>
      </c>
      <c r="R11" s="4">
        <f>Q11*3</f>
        <v>8100</v>
      </c>
      <c r="S11" s="5"/>
    </row>
    <row r="12" spans="1:20" x14ac:dyDescent="0.25">
      <c r="A12" s="4">
        <v>9</v>
      </c>
      <c r="B12" s="4">
        <v>3</v>
      </c>
      <c r="C12" s="4" t="s">
        <v>7</v>
      </c>
      <c r="D12" s="4">
        <v>1</v>
      </c>
      <c r="E12" s="4">
        <v>45</v>
      </c>
      <c r="F12" s="4">
        <v>45</v>
      </c>
      <c r="G12" s="4">
        <v>45</v>
      </c>
      <c r="H12" s="4">
        <v>45</v>
      </c>
      <c r="I12" s="4">
        <v>45</v>
      </c>
      <c r="J12" s="4">
        <v>45</v>
      </c>
      <c r="K12" s="4">
        <v>45</v>
      </c>
      <c r="S12" s="5"/>
    </row>
    <row r="13" spans="1:20" x14ac:dyDescent="0.25">
      <c r="A13" s="4">
        <v>10</v>
      </c>
      <c r="B13" s="4">
        <v>3</v>
      </c>
      <c r="C13" s="4" t="s">
        <v>8</v>
      </c>
      <c r="D13" s="4">
        <v>2</v>
      </c>
      <c r="E13" s="4">
        <v>45</v>
      </c>
      <c r="F13" s="4">
        <v>45</v>
      </c>
      <c r="G13" s="4">
        <v>45</v>
      </c>
      <c r="H13" s="4">
        <v>45</v>
      </c>
      <c r="I13" s="4">
        <v>45</v>
      </c>
      <c r="J13" s="4">
        <v>45</v>
      </c>
      <c r="K13" s="4">
        <v>45</v>
      </c>
      <c r="M13" s="4" t="s">
        <v>47</v>
      </c>
      <c r="N13" s="4" t="s">
        <v>52</v>
      </c>
      <c r="O13" s="4" t="s">
        <v>36</v>
      </c>
      <c r="P13" s="4" t="s">
        <v>53</v>
      </c>
      <c r="Q13" s="4">
        <v>12</v>
      </c>
      <c r="S13" s="5" t="s">
        <v>54</v>
      </c>
      <c r="T13" t="s">
        <v>55</v>
      </c>
    </row>
    <row r="14" spans="1:20" x14ac:dyDescent="0.25">
      <c r="A14" s="4">
        <v>11</v>
      </c>
      <c r="B14" s="4">
        <v>3</v>
      </c>
      <c r="C14" s="4" t="s">
        <v>5</v>
      </c>
      <c r="D14" s="4">
        <v>3</v>
      </c>
      <c r="E14" s="4">
        <v>45</v>
      </c>
      <c r="F14" s="4">
        <v>45</v>
      </c>
      <c r="G14" s="4">
        <v>45</v>
      </c>
      <c r="H14" s="4">
        <v>45</v>
      </c>
      <c r="I14" s="4">
        <v>45</v>
      </c>
      <c r="J14" s="4">
        <v>45</v>
      </c>
      <c r="K14" s="4">
        <v>45</v>
      </c>
      <c r="S14" s="5"/>
    </row>
    <row r="15" spans="1:20" x14ac:dyDescent="0.25">
      <c r="A15" s="4">
        <v>12</v>
      </c>
      <c r="B15" s="4">
        <v>3</v>
      </c>
      <c r="C15" s="4" t="s">
        <v>6</v>
      </c>
      <c r="D15" s="4">
        <v>4</v>
      </c>
      <c r="E15" s="4">
        <v>45</v>
      </c>
      <c r="F15" s="4">
        <v>45</v>
      </c>
      <c r="G15" s="4">
        <v>45</v>
      </c>
      <c r="H15" s="4">
        <v>45</v>
      </c>
      <c r="I15" s="4">
        <v>45</v>
      </c>
      <c r="J15" s="4">
        <v>45</v>
      </c>
      <c r="K15" s="4">
        <v>45</v>
      </c>
      <c r="M15" s="4" t="s">
        <v>47</v>
      </c>
      <c r="N15" s="4" t="s">
        <v>56</v>
      </c>
      <c r="O15" s="4" t="s">
        <v>41</v>
      </c>
      <c r="P15" s="4" t="s">
        <v>57</v>
      </c>
      <c r="Q15" s="4">
        <f>Q1</f>
        <v>60</v>
      </c>
      <c r="S15" s="5" t="s">
        <v>58</v>
      </c>
    </row>
    <row r="16" spans="1:20" x14ac:dyDescent="0.25">
      <c r="A16" s="4">
        <v>13</v>
      </c>
      <c r="B16" s="4">
        <v>4</v>
      </c>
      <c r="C16" s="4" t="s">
        <v>8</v>
      </c>
      <c r="D16" s="4">
        <v>1</v>
      </c>
      <c r="E16" s="4">
        <v>45</v>
      </c>
      <c r="F16" s="4">
        <v>45</v>
      </c>
      <c r="G16" s="4">
        <v>45</v>
      </c>
      <c r="H16" s="4">
        <v>45</v>
      </c>
      <c r="I16" s="4">
        <v>45</v>
      </c>
      <c r="J16" s="4">
        <v>45</v>
      </c>
      <c r="K16" s="4">
        <v>45</v>
      </c>
    </row>
    <row r="17" spans="1:13" x14ac:dyDescent="0.25">
      <c r="A17" s="4">
        <v>14</v>
      </c>
      <c r="B17" s="4">
        <v>4</v>
      </c>
      <c r="C17" s="4" t="s">
        <v>6</v>
      </c>
      <c r="D17" s="4">
        <v>2</v>
      </c>
      <c r="E17" s="4">
        <v>45</v>
      </c>
      <c r="F17" s="4">
        <v>45</v>
      </c>
      <c r="G17" s="4">
        <v>45</v>
      </c>
      <c r="H17" s="4">
        <v>45</v>
      </c>
      <c r="I17" s="4">
        <v>45</v>
      </c>
      <c r="J17" s="4">
        <v>45</v>
      </c>
      <c r="K17" s="4">
        <v>45</v>
      </c>
      <c r="M17" s="4" t="s">
        <v>59</v>
      </c>
    </row>
    <row r="18" spans="1:13" x14ac:dyDescent="0.25">
      <c r="A18" s="4">
        <v>15</v>
      </c>
      <c r="B18" s="4">
        <v>4</v>
      </c>
      <c r="C18" s="4" t="s">
        <v>7</v>
      </c>
      <c r="D18" s="4">
        <v>3</v>
      </c>
      <c r="E18" s="4">
        <v>45</v>
      </c>
      <c r="F18" s="4">
        <v>45</v>
      </c>
      <c r="G18" s="4">
        <v>45</v>
      </c>
      <c r="H18" s="4">
        <v>45</v>
      </c>
      <c r="I18" s="4">
        <v>45</v>
      </c>
      <c r="J18" s="4">
        <v>45</v>
      </c>
      <c r="K18" s="4">
        <v>45</v>
      </c>
      <c r="M18" s="4" t="s">
        <v>59</v>
      </c>
    </row>
    <row r="19" spans="1:13" x14ac:dyDescent="0.25">
      <c r="A19" s="4">
        <v>16</v>
      </c>
      <c r="B19" s="4">
        <v>4</v>
      </c>
      <c r="C19" s="4" t="s">
        <v>5</v>
      </c>
      <c r="D19" s="4">
        <v>4</v>
      </c>
      <c r="E19" s="4">
        <v>45</v>
      </c>
      <c r="F19" s="4">
        <v>45</v>
      </c>
      <c r="G19" s="4">
        <v>45</v>
      </c>
      <c r="H19" s="4">
        <v>45</v>
      </c>
      <c r="I19" s="4">
        <v>45</v>
      </c>
      <c r="J19" s="4">
        <v>45</v>
      </c>
      <c r="K19" s="4">
        <v>45</v>
      </c>
    </row>
    <row r="20" spans="1:13" x14ac:dyDescent="0.25">
      <c r="A20" s="4">
        <v>17</v>
      </c>
      <c r="B20" s="4">
        <v>5</v>
      </c>
      <c r="C20" s="4" t="s">
        <v>6</v>
      </c>
      <c r="D20" s="4">
        <v>1</v>
      </c>
      <c r="E20" s="4">
        <v>45</v>
      </c>
      <c r="F20" s="4">
        <v>45</v>
      </c>
      <c r="G20" s="4">
        <v>45</v>
      </c>
      <c r="H20" s="4">
        <v>45</v>
      </c>
      <c r="I20" s="4">
        <v>45</v>
      </c>
      <c r="J20" s="4">
        <v>45</v>
      </c>
      <c r="K20" s="4">
        <v>45</v>
      </c>
    </row>
    <row r="21" spans="1:13" x14ac:dyDescent="0.25">
      <c r="A21" s="4">
        <v>18</v>
      </c>
      <c r="B21" s="4">
        <v>5</v>
      </c>
      <c r="C21" s="4" t="s">
        <v>7</v>
      </c>
      <c r="D21" s="4">
        <v>2</v>
      </c>
      <c r="E21" s="4">
        <v>45</v>
      </c>
      <c r="F21" s="4">
        <v>45</v>
      </c>
      <c r="G21" s="4">
        <v>45</v>
      </c>
      <c r="H21" s="4">
        <v>45</v>
      </c>
      <c r="I21" s="4">
        <v>45</v>
      </c>
      <c r="J21" s="4">
        <v>45</v>
      </c>
      <c r="K21" s="4">
        <v>45</v>
      </c>
    </row>
    <row r="22" spans="1:13" x14ac:dyDescent="0.25">
      <c r="A22" s="4">
        <v>19</v>
      </c>
      <c r="B22" s="4">
        <v>5</v>
      </c>
      <c r="C22" s="4" t="s">
        <v>8</v>
      </c>
      <c r="D22" s="4">
        <v>3</v>
      </c>
      <c r="E22" s="4">
        <v>45</v>
      </c>
      <c r="F22" s="4">
        <v>45</v>
      </c>
      <c r="G22" s="4">
        <v>45</v>
      </c>
      <c r="H22" s="4">
        <v>45</v>
      </c>
      <c r="I22" s="4">
        <v>45</v>
      </c>
      <c r="J22" s="4">
        <v>45</v>
      </c>
      <c r="K22" s="4">
        <v>45</v>
      </c>
    </row>
    <row r="23" spans="1:13" x14ac:dyDescent="0.25">
      <c r="A23" s="4">
        <v>20</v>
      </c>
      <c r="B23" s="4">
        <v>5</v>
      </c>
      <c r="C23" s="4" t="s">
        <v>5</v>
      </c>
      <c r="D23" s="4">
        <v>4</v>
      </c>
      <c r="E23" s="4">
        <v>45</v>
      </c>
      <c r="F23" s="4">
        <v>45</v>
      </c>
      <c r="G23" s="4">
        <v>45</v>
      </c>
      <c r="H23" s="4">
        <v>45</v>
      </c>
      <c r="I23" s="4">
        <v>45</v>
      </c>
      <c r="J23" s="4">
        <v>45</v>
      </c>
      <c r="K23" s="4">
        <v>45</v>
      </c>
    </row>
    <row r="24" spans="1:13" x14ac:dyDescent="0.25">
      <c r="A24" s="4">
        <v>21</v>
      </c>
      <c r="B24" s="4">
        <v>6</v>
      </c>
      <c r="C24" s="4" t="s">
        <v>5</v>
      </c>
      <c r="D24" s="4">
        <v>1</v>
      </c>
      <c r="E24" s="4">
        <v>45</v>
      </c>
      <c r="F24" s="4">
        <v>45</v>
      </c>
      <c r="G24" s="4">
        <v>45</v>
      </c>
      <c r="H24" s="4">
        <v>45</v>
      </c>
      <c r="I24" s="4">
        <v>45</v>
      </c>
      <c r="J24" s="4">
        <v>45</v>
      </c>
      <c r="K24" s="4">
        <v>45</v>
      </c>
    </row>
    <row r="25" spans="1:13" x14ac:dyDescent="0.25">
      <c r="A25" s="4">
        <v>22</v>
      </c>
      <c r="B25" s="4">
        <v>6</v>
      </c>
      <c r="C25" s="4" t="s">
        <v>7</v>
      </c>
      <c r="D25" s="4">
        <v>2</v>
      </c>
      <c r="E25" s="4">
        <v>45</v>
      </c>
      <c r="F25" s="4">
        <v>45</v>
      </c>
      <c r="G25" s="4">
        <v>45</v>
      </c>
      <c r="H25" s="4">
        <v>45</v>
      </c>
      <c r="I25" s="4">
        <v>45</v>
      </c>
      <c r="J25" s="4">
        <v>45</v>
      </c>
      <c r="K25" s="4">
        <v>45</v>
      </c>
    </row>
    <row r="26" spans="1:13" x14ac:dyDescent="0.25">
      <c r="A26" s="4">
        <v>23</v>
      </c>
      <c r="B26" s="4">
        <v>6</v>
      </c>
      <c r="C26" s="4" t="s">
        <v>8</v>
      </c>
      <c r="D26" s="4">
        <v>3</v>
      </c>
      <c r="E26" s="4">
        <v>45</v>
      </c>
      <c r="F26" s="4">
        <v>45</v>
      </c>
      <c r="G26" s="4">
        <v>45</v>
      </c>
      <c r="H26" s="4">
        <v>45</v>
      </c>
      <c r="I26" s="4">
        <v>45</v>
      </c>
      <c r="J26" s="4">
        <v>45</v>
      </c>
      <c r="K26" s="4">
        <v>45</v>
      </c>
    </row>
    <row r="27" spans="1:13" x14ac:dyDescent="0.25">
      <c r="A27" s="4">
        <v>24</v>
      </c>
      <c r="B27" s="4">
        <v>6</v>
      </c>
      <c r="C27" s="4" t="s">
        <v>6</v>
      </c>
      <c r="D27" s="4">
        <v>4</v>
      </c>
      <c r="E27" s="4">
        <v>45</v>
      </c>
      <c r="F27" s="4">
        <v>45</v>
      </c>
      <c r="G27" s="4">
        <v>45</v>
      </c>
      <c r="H27" s="4">
        <v>45</v>
      </c>
      <c r="I27" s="4">
        <v>45</v>
      </c>
      <c r="J27" s="4">
        <v>45</v>
      </c>
      <c r="K27" s="4">
        <v>45</v>
      </c>
    </row>
    <row r="28" spans="1:13" x14ac:dyDescent="0.25">
      <c r="A28" s="4">
        <v>25</v>
      </c>
      <c r="B28" s="4">
        <v>7</v>
      </c>
      <c r="C28" s="4" t="s">
        <v>7</v>
      </c>
      <c r="D28" s="4">
        <v>1</v>
      </c>
      <c r="E28" s="4">
        <v>45</v>
      </c>
      <c r="F28" s="4">
        <v>45</v>
      </c>
      <c r="G28" s="4">
        <v>45</v>
      </c>
      <c r="H28" s="4">
        <v>45</v>
      </c>
      <c r="I28" s="4">
        <v>45</v>
      </c>
      <c r="J28" s="4">
        <v>45</v>
      </c>
      <c r="K28" s="4">
        <v>45</v>
      </c>
    </row>
    <row r="29" spans="1:13" x14ac:dyDescent="0.25">
      <c r="A29" s="4">
        <v>26</v>
      </c>
      <c r="B29" s="4">
        <v>7</v>
      </c>
      <c r="C29" s="4" t="s">
        <v>6</v>
      </c>
      <c r="D29" s="4">
        <v>2</v>
      </c>
      <c r="E29" s="4">
        <v>45</v>
      </c>
      <c r="F29" s="4">
        <v>45</v>
      </c>
      <c r="G29" s="4">
        <v>45</v>
      </c>
      <c r="H29" s="4">
        <v>45</v>
      </c>
      <c r="I29" s="4">
        <v>45</v>
      </c>
      <c r="J29" s="4">
        <v>45</v>
      </c>
      <c r="K29" s="4">
        <v>45</v>
      </c>
    </row>
    <row r="30" spans="1:13" x14ac:dyDescent="0.25">
      <c r="A30" s="4">
        <v>27</v>
      </c>
      <c r="B30" s="4">
        <v>7</v>
      </c>
      <c r="C30" s="4" t="s">
        <v>8</v>
      </c>
      <c r="D30" s="4">
        <v>3</v>
      </c>
      <c r="E30" s="4">
        <v>45</v>
      </c>
      <c r="F30" s="4">
        <v>45</v>
      </c>
      <c r="G30" s="4">
        <v>45</v>
      </c>
      <c r="H30" s="4">
        <v>45</v>
      </c>
      <c r="I30" s="4">
        <v>45</v>
      </c>
      <c r="J30" s="4">
        <v>45</v>
      </c>
      <c r="K30" s="4">
        <v>45</v>
      </c>
    </row>
    <row r="31" spans="1:13" x14ac:dyDescent="0.25">
      <c r="A31" s="4">
        <v>28</v>
      </c>
      <c r="B31" s="4">
        <v>7</v>
      </c>
      <c r="C31" s="4" t="s">
        <v>5</v>
      </c>
      <c r="D31" s="4">
        <v>4</v>
      </c>
      <c r="E31" s="4">
        <v>45</v>
      </c>
      <c r="F31" s="4">
        <v>45</v>
      </c>
      <c r="G31" s="4">
        <v>45</v>
      </c>
      <c r="H31" s="4">
        <v>45</v>
      </c>
      <c r="I31" s="4">
        <v>45</v>
      </c>
      <c r="J31" s="4">
        <v>45</v>
      </c>
      <c r="K31" s="4">
        <v>45</v>
      </c>
    </row>
    <row r="32" spans="1:13" x14ac:dyDescent="0.25">
      <c r="A32" s="4">
        <v>29</v>
      </c>
      <c r="B32" s="4">
        <v>8</v>
      </c>
      <c r="C32" s="4" t="s">
        <v>5</v>
      </c>
      <c r="D32" s="4">
        <v>1</v>
      </c>
      <c r="E32" s="4">
        <v>45</v>
      </c>
      <c r="F32" s="4">
        <v>45</v>
      </c>
      <c r="G32" s="4">
        <v>45</v>
      </c>
      <c r="H32" s="4">
        <v>45</v>
      </c>
      <c r="I32" s="4">
        <v>45</v>
      </c>
      <c r="J32" s="4">
        <v>45</v>
      </c>
      <c r="K32" s="4">
        <v>45</v>
      </c>
    </row>
    <row r="33" spans="1:11" x14ac:dyDescent="0.25">
      <c r="A33" s="4">
        <v>30</v>
      </c>
      <c r="B33" s="4">
        <v>8</v>
      </c>
      <c r="C33" s="4" t="s">
        <v>8</v>
      </c>
      <c r="D33" s="4">
        <v>2</v>
      </c>
      <c r="E33" s="4">
        <v>45</v>
      </c>
      <c r="F33" s="4">
        <v>45</v>
      </c>
      <c r="G33" s="4">
        <v>45</v>
      </c>
      <c r="H33" s="4">
        <v>45</v>
      </c>
      <c r="I33" s="4">
        <v>45</v>
      </c>
      <c r="J33" s="4">
        <v>45</v>
      </c>
      <c r="K33" s="4">
        <v>45</v>
      </c>
    </row>
    <row r="34" spans="1:11" x14ac:dyDescent="0.25">
      <c r="A34" s="4">
        <v>31</v>
      </c>
      <c r="B34" s="4">
        <v>8</v>
      </c>
      <c r="C34" s="4" t="s">
        <v>6</v>
      </c>
      <c r="D34" s="4">
        <v>3</v>
      </c>
      <c r="E34" s="4">
        <v>45</v>
      </c>
      <c r="F34" s="4">
        <v>45</v>
      </c>
      <c r="G34" s="4">
        <v>45</v>
      </c>
      <c r="H34" s="4">
        <v>45</v>
      </c>
      <c r="I34" s="4">
        <v>45</v>
      </c>
      <c r="J34" s="4">
        <v>45</v>
      </c>
      <c r="K34" s="4">
        <v>45</v>
      </c>
    </row>
    <row r="35" spans="1:11" x14ac:dyDescent="0.25">
      <c r="A35" s="4">
        <v>32</v>
      </c>
      <c r="B35" s="4">
        <v>8</v>
      </c>
      <c r="C35" s="4" t="s">
        <v>7</v>
      </c>
      <c r="D35" s="4">
        <v>4</v>
      </c>
      <c r="E35" s="4">
        <v>45</v>
      </c>
      <c r="F35" s="4">
        <v>45</v>
      </c>
      <c r="G35" s="4">
        <v>45</v>
      </c>
      <c r="H35" s="4">
        <v>45</v>
      </c>
      <c r="I35" s="4">
        <v>45</v>
      </c>
      <c r="J35" s="4">
        <v>45</v>
      </c>
      <c r="K35" s="4">
        <v>45</v>
      </c>
    </row>
    <row r="36" spans="1:11" x14ac:dyDescent="0.25">
      <c r="A36" s="4">
        <v>33</v>
      </c>
      <c r="B36" s="4">
        <v>9</v>
      </c>
      <c r="C36" s="4" t="s">
        <v>8</v>
      </c>
      <c r="D36" s="4">
        <v>1</v>
      </c>
      <c r="E36" s="4">
        <v>45</v>
      </c>
      <c r="F36" s="4">
        <v>45</v>
      </c>
      <c r="G36" s="4">
        <v>45</v>
      </c>
      <c r="H36" s="4">
        <v>45</v>
      </c>
      <c r="I36" s="4">
        <v>45</v>
      </c>
      <c r="J36" s="4">
        <v>45</v>
      </c>
      <c r="K36" s="4">
        <v>45</v>
      </c>
    </row>
    <row r="37" spans="1:11" x14ac:dyDescent="0.25">
      <c r="A37" s="4">
        <v>34</v>
      </c>
      <c r="B37" s="4">
        <v>9</v>
      </c>
      <c r="C37" s="4" t="s">
        <v>6</v>
      </c>
      <c r="D37" s="4">
        <v>2</v>
      </c>
      <c r="E37" s="4">
        <v>45</v>
      </c>
      <c r="F37" s="4">
        <v>45</v>
      </c>
      <c r="G37" s="4">
        <v>45</v>
      </c>
      <c r="H37" s="4">
        <v>45</v>
      </c>
      <c r="I37" s="4">
        <v>45</v>
      </c>
      <c r="J37" s="4">
        <v>45</v>
      </c>
      <c r="K37" s="4">
        <v>45</v>
      </c>
    </row>
    <row r="38" spans="1:11" x14ac:dyDescent="0.25">
      <c r="A38" s="4">
        <v>35</v>
      </c>
      <c r="B38" s="4">
        <v>9</v>
      </c>
      <c r="C38" s="4" t="s">
        <v>7</v>
      </c>
      <c r="D38" s="4">
        <v>3</v>
      </c>
      <c r="E38" s="4">
        <v>45</v>
      </c>
      <c r="F38" s="4">
        <v>45</v>
      </c>
      <c r="G38" s="4">
        <v>45</v>
      </c>
      <c r="H38" s="4">
        <v>45</v>
      </c>
      <c r="I38" s="4">
        <v>45</v>
      </c>
      <c r="J38" s="4">
        <v>45</v>
      </c>
      <c r="K38" s="4">
        <v>45</v>
      </c>
    </row>
    <row r="39" spans="1:11" x14ac:dyDescent="0.25">
      <c r="A39" s="4">
        <v>36</v>
      </c>
      <c r="B39" s="4">
        <v>9</v>
      </c>
      <c r="C39" s="4" t="s">
        <v>5</v>
      </c>
      <c r="D39" s="4">
        <v>4</v>
      </c>
      <c r="E39" s="4">
        <v>45</v>
      </c>
      <c r="F39" s="4">
        <v>45</v>
      </c>
      <c r="G39" s="4">
        <v>45</v>
      </c>
      <c r="H39" s="4">
        <v>45</v>
      </c>
      <c r="I39" s="4">
        <v>45</v>
      </c>
      <c r="J39" s="4">
        <v>45</v>
      </c>
      <c r="K39" s="4">
        <v>45</v>
      </c>
    </row>
    <row r="40" spans="1:11" x14ac:dyDescent="0.25">
      <c r="A40" s="4">
        <v>37</v>
      </c>
      <c r="B40" s="4">
        <v>10</v>
      </c>
      <c r="C40" s="4" t="s">
        <v>7</v>
      </c>
      <c r="D40" s="4">
        <v>1</v>
      </c>
      <c r="E40" s="4">
        <v>45</v>
      </c>
      <c r="F40" s="4">
        <v>45</v>
      </c>
      <c r="G40" s="4">
        <v>45</v>
      </c>
      <c r="H40" s="4">
        <v>45</v>
      </c>
      <c r="I40" s="4">
        <v>45</v>
      </c>
      <c r="J40" s="4">
        <v>45</v>
      </c>
      <c r="K40" s="4">
        <v>45</v>
      </c>
    </row>
    <row r="41" spans="1:11" x14ac:dyDescent="0.25">
      <c r="A41" s="4">
        <v>38</v>
      </c>
      <c r="B41" s="4">
        <v>10</v>
      </c>
      <c r="C41" s="4" t="s">
        <v>6</v>
      </c>
      <c r="D41" s="4">
        <v>2</v>
      </c>
      <c r="E41" s="4">
        <v>45</v>
      </c>
      <c r="F41" s="4">
        <v>45</v>
      </c>
      <c r="G41" s="4">
        <v>45</v>
      </c>
      <c r="H41" s="4">
        <v>45</v>
      </c>
      <c r="I41" s="4">
        <v>45</v>
      </c>
      <c r="J41" s="4">
        <v>45</v>
      </c>
      <c r="K41" s="4">
        <v>45</v>
      </c>
    </row>
    <row r="42" spans="1:11" x14ac:dyDescent="0.25">
      <c r="A42" s="4">
        <v>39</v>
      </c>
      <c r="B42" s="4">
        <v>10</v>
      </c>
      <c r="C42" s="4" t="s">
        <v>8</v>
      </c>
      <c r="D42" s="4">
        <v>3</v>
      </c>
      <c r="E42" s="4">
        <v>45</v>
      </c>
      <c r="F42" s="4">
        <v>45</v>
      </c>
      <c r="G42" s="4">
        <v>45</v>
      </c>
      <c r="H42" s="4">
        <v>45</v>
      </c>
      <c r="I42" s="4">
        <v>45</v>
      </c>
      <c r="J42" s="4">
        <v>45</v>
      </c>
      <c r="K42" s="4">
        <v>45</v>
      </c>
    </row>
    <row r="43" spans="1:11" x14ac:dyDescent="0.25">
      <c r="A43" s="4">
        <v>40</v>
      </c>
      <c r="B43" s="4">
        <v>10</v>
      </c>
      <c r="C43" s="4" t="s">
        <v>5</v>
      </c>
      <c r="D43" s="4">
        <v>4</v>
      </c>
      <c r="E43" s="4">
        <v>45</v>
      </c>
      <c r="F43" s="4">
        <v>45</v>
      </c>
      <c r="G43" s="4">
        <v>45</v>
      </c>
      <c r="H43" s="4">
        <v>45</v>
      </c>
      <c r="I43" s="4">
        <v>45</v>
      </c>
      <c r="J43" s="4">
        <v>45</v>
      </c>
      <c r="K43" s="4">
        <v>45</v>
      </c>
    </row>
    <row r="44" spans="1:11" x14ac:dyDescent="0.25">
      <c r="A44" s="4">
        <v>41</v>
      </c>
      <c r="B44" s="4">
        <v>11</v>
      </c>
      <c r="C44" s="4" t="s">
        <v>6</v>
      </c>
      <c r="D44" s="4">
        <v>1</v>
      </c>
      <c r="E44" s="4">
        <v>45</v>
      </c>
      <c r="F44" s="4">
        <v>45</v>
      </c>
      <c r="G44" s="4">
        <v>45</v>
      </c>
      <c r="H44" s="4">
        <v>45</v>
      </c>
      <c r="I44" s="4">
        <v>45</v>
      </c>
      <c r="J44" s="4">
        <v>45</v>
      </c>
      <c r="K44" s="4">
        <v>45</v>
      </c>
    </row>
    <row r="45" spans="1:11" x14ac:dyDescent="0.25">
      <c r="A45" s="4">
        <v>42</v>
      </c>
      <c r="B45" s="4">
        <v>11</v>
      </c>
      <c r="C45" s="4" t="s">
        <v>7</v>
      </c>
      <c r="D45" s="4">
        <v>2</v>
      </c>
      <c r="E45" s="4">
        <v>45</v>
      </c>
      <c r="F45" s="4">
        <v>45</v>
      </c>
      <c r="G45" s="4">
        <v>45</v>
      </c>
      <c r="H45" s="4">
        <v>45</v>
      </c>
      <c r="I45" s="4">
        <v>45</v>
      </c>
      <c r="J45" s="4">
        <v>45</v>
      </c>
      <c r="K45" s="4">
        <v>45</v>
      </c>
    </row>
    <row r="46" spans="1:11" x14ac:dyDescent="0.25">
      <c r="A46" s="4">
        <v>43</v>
      </c>
      <c r="B46" s="4">
        <v>11</v>
      </c>
      <c r="C46" s="4" t="s">
        <v>5</v>
      </c>
      <c r="D46" s="4">
        <v>3</v>
      </c>
      <c r="E46" s="4">
        <v>45</v>
      </c>
      <c r="F46" s="4">
        <v>45</v>
      </c>
      <c r="G46" s="4">
        <v>45</v>
      </c>
      <c r="H46" s="4">
        <v>45</v>
      </c>
      <c r="I46" s="4">
        <v>45</v>
      </c>
      <c r="J46" s="4">
        <v>45</v>
      </c>
      <c r="K46" s="4">
        <v>45</v>
      </c>
    </row>
    <row r="47" spans="1:11" x14ac:dyDescent="0.25">
      <c r="A47" s="4">
        <v>44</v>
      </c>
      <c r="B47" s="4">
        <v>11</v>
      </c>
      <c r="C47" s="4" t="s">
        <v>8</v>
      </c>
      <c r="D47" s="4">
        <v>4</v>
      </c>
      <c r="E47" s="4">
        <v>45</v>
      </c>
      <c r="F47" s="4">
        <v>45</v>
      </c>
      <c r="G47" s="4">
        <v>45</v>
      </c>
      <c r="H47" s="4">
        <v>45</v>
      </c>
      <c r="I47" s="4">
        <v>45</v>
      </c>
      <c r="J47" s="4">
        <v>45</v>
      </c>
      <c r="K47" s="4">
        <v>45</v>
      </c>
    </row>
    <row r="48" spans="1:11" x14ac:dyDescent="0.25">
      <c r="A48" s="4">
        <v>45</v>
      </c>
      <c r="B48" s="4">
        <v>12</v>
      </c>
      <c r="C48" s="4" t="s">
        <v>7</v>
      </c>
      <c r="D48" s="4">
        <v>1</v>
      </c>
      <c r="E48" s="4">
        <v>45</v>
      </c>
      <c r="F48" s="4">
        <v>45</v>
      </c>
      <c r="G48" s="4">
        <v>45</v>
      </c>
      <c r="H48" s="4">
        <v>45</v>
      </c>
      <c r="I48" s="4">
        <v>45</v>
      </c>
      <c r="J48" s="4">
        <v>45</v>
      </c>
      <c r="K48" s="4">
        <v>45</v>
      </c>
    </row>
    <row r="49" spans="1:11" x14ac:dyDescent="0.25">
      <c r="A49" s="4">
        <v>46</v>
      </c>
      <c r="B49" s="4">
        <v>12</v>
      </c>
      <c r="C49" s="4" t="s">
        <v>6</v>
      </c>
      <c r="D49" s="4">
        <v>2</v>
      </c>
      <c r="E49" s="4">
        <v>45</v>
      </c>
      <c r="F49" s="4">
        <v>45</v>
      </c>
      <c r="G49" s="4">
        <v>45</v>
      </c>
      <c r="H49" s="4">
        <v>45</v>
      </c>
      <c r="I49" s="4">
        <v>45</v>
      </c>
      <c r="J49" s="4">
        <v>45</v>
      </c>
      <c r="K49" s="4">
        <v>45</v>
      </c>
    </row>
    <row r="50" spans="1:11" x14ac:dyDescent="0.25">
      <c r="A50" s="4">
        <v>47</v>
      </c>
      <c r="B50" s="4">
        <v>12</v>
      </c>
      <c r="C50" s="4" t="s">
        <v>5</v>
      </c>
      <c r="D50" s="4">
        <v>3</v>
      </c>
      <c r="E50" s="4">
        <v>45</v>
      </c>
      <c r="F50" s="4">
        <v>45</v>
      </c>
      <c r="G50" s="4">
        <v>45</v>
      </c>
      <c r="H50" s="4">
        <v>45</v>
      </c>
      <c r="I50" s="4">
        <v>45</v>
      </c>
      <c r="J50" s="4">
        <v>45</v>
      </c>
      <c r="K50" s="4">
        <v>45</v>
      </c>
    </row>
    <row r="51" spans="1:11" x14ac:dyDescent="0.25">
      <c r="A51" s="4">
        <v>48</v>
      </c>
      <c r="B51" s="4">
        <v>12</v>
      </c>
      <c r="C51" s="4" t="s">
        <v>8</v>
      </c>
      <c r="D51" s="4">
        <v>4</v>
      </c>
      <c r="E51" s="4">
        <v>45</v>
      </c>
      <c r="F51" s="4">
        <v>45</v>
      </c>
      <c r="G51" s="4">
        <v>45</v>
      </c>
      <c r="H51" s="4">
        <v>45</v>
      </c>
      <c r="I51" s="4">
        <v>45</v>
      </c>
      <c r="J51" s="4">
        <v>45</v>
      </c>
      <c r="K51" s="4">
        <v>45</v>
      </c>
    </row>
    <row r="52" spans="1:11" x14ac:dyDescent="0.25">
      <c r="A52" s="4">
        <v>49</v>
      </c>
      <c r="B52" s="4">
        <v>13</v>
      </c>
      <c r="C52" s="4" t="s">
        <v>6</v>
      </c>
      <c r="D52" s="4">
        <v>1</v>
      </c>
      <c r="E52" s="4">
        <v>45</v>
      </c>
      <c r="F52" s="4">
        <v>45</v>
      </c>
      <c r="G52" s="4">
        <v>45</v>
      </c>
      <c r="H52" s="4">
        <v>45</v>
      </c>
      <c r="I52" s="4">
        <v>45</v>
      </c>
      <c r="J52" s="4">
        <v>45</v>
      </c>
      <c r="K52" s="4">
        <v>45</v>
      </c>
    </row>
    <row r="53" spans="1:11" x14ac:dyDescent="0.25">
      <c r="A53" s="4">
        <v>50</v>
      </c>
      <c r="B53" s="4">
        <v>13</v>
      </c>
      <c r="C53" s="4" t="s">
        <v>8</v>
      </c>
      <c r="D53" s="4">
        <v>2</v>
      </c>
      <c r="E53" s="4">
        <v>45</v>
      </c>
      <c r="F53" s="4">
        <v>45</v>
      </c>
      <c r="G53" s="4">
        <v>45</v>
      </c>
      <c r="H53" s="4">
        <v>45</v>
      </c>
      <c r="I53" s="4">
        <v>45</v>
      </c>
      <c r="J53" s="4">
        <v>45</v>
      </c>
      <c r="K53" s="4">
        <v>45</v>
      </c>
    </row>
    <row r="54" spans="1:11" x14ac:dyDescent="0.25">
      <c r="A54" s="4">
        <v>51</v>
      </c>
      <c r="B54" s="4">
        <v>13</v>
      </c>
      <c r="C54" s="4" t="s">
        <v>7</v>
      </c>
      <c r="D54" s="4">
        <v>3</v>
      </c>
      <c r="E54" s="4">
        <v>45</v>
      </c>
      <c r="F54" s="4">
        <v>45</v>
      </c>
      <c r="G54" s="4">
        <v>45</v>
      </c>
      <c r="H54" s="4">
        <v>45</v>
      </c>
      <c r="I54" s="4">
        <v>45</v>
      </c>
      <c r="J54" s="4">
        <v>45</v>
      </c>
      <c r="K54" s="4">
        <v>45</v>
      </c>
    </row>
    <row r="55" spans="1:11" x14ac:dyDescent="0.25">
      <c r="A55" s="4">
        <v>52</v>
      </c>
      <c r="B55" s="4">
        <v>13</v>
      </c>
      <c r="C55" s="4" t="s">
        <v>5</v>
      </c>
      <c r="D55" s="4">
        <v>4</v>
      </c>
      <c r="E55" s="4">
        <v>45</v>
      </c>
      <c r="F55" s="4">
        <v>45</v>
      </c>
      <c r="G55" s="4">
        <v>45</v>
      </c>
      <c r="H55" s="4">
        <v>45</v>
      </c>
      <c r="I55" s="4">
        <v>45</v>
      </c>
      <c r="J55" s="4">
        <v>45</v>
      </c>
      <c r="K55" s="4">
        <v>45</v>
      </c>
    </row>
    <row r="56" spans="1:11" x14ac:dyDescent="0.25">
      <c r="A56" s="4">
        <v>53</v>
      </c>
      <c r="B56" s="4">
        <v>14</v>
      </c>
      <c r="C56" s="4" t="s">
        <v>6</v>
      </c>
      <c r="D56" s="4">
        <v>1</v>
      </c>
      <c r="E56" s="4">
        <v>45</v>
      </c>
      <c r="F56" s="4">
        <v>45</v>
      </c>
      <c r="G56" s="4">
        <v>45</v>
      </c>
      <c r="H56" s="4">
        <v>45</v>
      </c>
      <c r="I56" s="4">
        <v>45</v>
      </c>
      <c r="J56" s="4">
        <v>45</v>
      </c>
      <c r="K56" s="4">
        <v>45</v>
      </c>
    </row>
    <row r="57" spans="1:11" x14ac:dyDescent="0.25">
      <c r="A57" s="4">
        <v>54</v>
      </c>
      <c r="B57" s="4">
        <v>14</v>
      </c>
      <c r="C57" s="4" t="s">
        <v>5</v>
      </c>
      <c r="D57" s="4">
        <v>2</v>
      </c>
      <c r="E57" s="4">
        <v>45</v>
      </c>
      <c r="F57" s="4">
        <v>45</v>
      </c>
      <c r="G57" s="4">
        <v>45</v>
      </c>
      <c r="H57" s="4">
        <v>45</v>
      </c>
      <c r="I57" s="4">
        <v>45</v>
      </c>
      <c r="J57" s="4">
        <v>45</v>
      </c>
      <c r="K57" s="4">
        <v>45</v>
      </c>
    </row>
    <row r="58" spans="1:11" x14ac:dyDescent="0.25">
      <c r="A58" s="4">
        <v>55</v>
      </c>
      <c r="B58" s="4">
        <v>14</v>
      </c>
      <c r="C58" s="4" t="s">
        <v>8</v>
      </c>
      <c r="D58" s="4">
        <v>3</v>
      </c>
      <c r="E58" s="4">
        <v>45</v>
      </c>
      <c r="F58" s="4">
        <v>45</v>
      </c>
      <c r="G58" s="4">
        <v>45</v>
      </c>
      <c r="H58" s="4">
        <v>45</v>
      </c>
      <c r="I58" s="4">
        <v>45</v>
      </c>
      <c r="J58" s="4">
        <v>45</v>
      </c>
      <c r="K58" s="4">
        <v>45</v>
      </c>
    </row>
    <row r="59" spans="1:11" x14ac:dyDescent="0.25">
      <c r="A59" s="4">
        <v>56</v>
      </c>
      <c r="B59" s="4">
        <v>14</v>
      </c>
      <c r="C59" s="4" t="s">
        <v>7</v>
      </c>
      <c r="D59" s="4">
        <v>4</v>
      </c>
      <c r="E59" s="4">
        <v>45</v>
      </c>
      <c r="F59" s="4">
        <v>45</v>
      </c>
      <c r="G59" s="4">
        <v>45</v>
      </c>
      <c r="H59" s="4">
        <v>45</v>
      </c>
      <c r="I59" s="4">
        <v>45</v>
      </c>
      <c r="J59" s="4">
        <v>45</v>
      </c>
      <c r="K59" s="4">
        <v>45</v>
      </c>
    </row>
  </sheetData>
  <mergeCells count="1">
    <mergeCell ref="F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54A5-A865-4F21-858A-8DC60B5CE61E}">
  <sheetPr>
    <tabColor theme="0" tint="-0.14999847407452621"/>
  </sheetPr>
  <dimension ref="A1:I61"/>
  <sheetViews>
    <sheetView workbookViewId="0">
      <selection activeCell="E13" sqref="E13"/>
    </sheetView>
  </sheetViews>
  <sheetFormatPr defaultRowHeight="15" x14ac:dyDescent="0.25"/>
  <cols>
    <col min="1" max="2" width="9.85546875" style="4" customWidth="1"/>
    <col min="3" max="3" width="13.7109375" style="4" customWidth="1"/>
    <col min="4" max="4" width="13.85546875" style="4" customWidth="1"/>
    <col min="5" max="5" width="11.7109375" style="4" customWidth="1"/>
    <col min="6" max="6" width="14.42578125" style="4" customWidth="1"/>
    <col min="7" max="7" width="12.28515625" style="4" customWidth="1"/>
    <col min="9" max="9" width="14" customWidth="1"/>
  </cols>
  <sheetData>
    <row r="1" spans="1:9" x14ac:dyDescent="0.25">
      <c r="A1" s="9" t="s">
        <v>0</v>
      </c>
      <c r="B1" s="9" t="s">
        <v>1</v>
      </c>
      <c r="C1" s="9" t="s">
        <v>2</v>
      </c>
      <c r="D1" s="9" t="s">
        <v>4</v>
      </c>
      <c r="E1" s="9" t="s">
        <v>75</v>
      </c>
      <c r="F1" s="9" t="s">
        <v>74</v>
      </c>
      <c r="G1" s="9" t="s">
        <v>73</v>
      </c>
      <c r="H1" s="9" t="s">
        <v>72</v>
      </c>
      <c r="I1" s="9" t="s">
        <v>71</v>
      </c>
    </row>
    <row r="2" spans="1:9" x14ac:dyDescent="0.25">
      <c r="A2" s="8">
        <v>1</v>
      </c>
      <c r="B2" s="8">
        <v>1</v>
      </c>
      <c r="C2" s="8" t="s">
        <v>5</v>
      </c>
      <c r="D2" s="8">
        <v>1</v>
      </c>
      <c r="E2" s="8" t="str">
        <f t="shared" ref="E2:E33" si="0">IF(C2="Brevicoryne","Bb",
IF(C2="Control","Ctr",
IF(C2="Myzus","Mp",
IF(C2="Lipaphis","Le",""))))</f>
        <v>Bb</v>
      </c>
      <c r="F2" s="8" t="s">
        <v>68</v>
      </c>
      <c r="G2" s="8" t="s">
        <v>67</v>
      </c>
      <c r="H2" s="7">
        <v>46120</v>
      </c>
    </row>
    <row r="3" spans="1:9" x14ac:dyDescent="0.25">
      <c r="A3" s="8">
        <v>2</v>
      </c>
      <c r="B3" s="8">
        <v>1</v>
      </c>
      <c r="C3" s="8" t="s">
        <v>6</v>
      </c>
      <c r="D3" s="8">
        <v>2</v>
      </c>
      <c r="E3" s="8" t="str">
        <f t="shared" si="0"/>
        <v>Ctr</v>
      </c>
      <c r="F3" s="8" t="s">
        <v>68</v>
      </c>
      <c r="G3" s="8" t="s">
        <v>67</v>
      </c>
      <c r="H3" s="7">
        <v>46120</v>
      </c>
    </row>
    <row r="4" spans="1:9" x14ac:dyDescent="0.25">
      <c r="A4" s="8">
        <v>3</v>
      </c>
      <c r="B4" s="8">
        <v>1</v>
      </c>
      <c r="C4" s="8" t="s">
        <v>7</v>
      </c>
      <c r="D4" s="8">
        <v>3</v>
      </c>
      <c r="E4" s="8" t="str">
        <f t="shared" si="0"/>
        <v>Le</v>
      </c>
      <c r="F4" s="8" t="s">
        <v>68</v>
      </c>
      <c r="G4" s="8" t="s">
        <v>67</v>
      </c>
      <c r="H4" s="7">
        <v>46120</v>
      </c>
    </row>
    <row r="5" spans="1:9" x14ac:dyDescent="0.25">
      <c r="A5" s="8">
        <v>4</v>
      </c>
      <c r="B5" s="8">
        <v>1</v>
      </c>
      <c r="C5" s="8" t="s">
        <v>8</v>
      </c>
      <c r="D5" s="8">
        <v>4</v>
      </c>
      <c r="E5" s="8" t="str">
        <f t="shared" si="0"/>
        <v>Mp</v>
      </c>
      <c r="F5" s="8" t="s">
        <v>68</v>
      </c>
      <c r="G5" s="8" t="s">
        <v>67</v>
      </c>
      <c r="H5" s="7">
        <v>46120</v>
      </c>
    </row>
    <row r="6" spans="1:9" x14ac:dyDescent="0.25">
      <c r="A6" s="8">
        <v>5</v>
      </c>
      <c r="B6" s="8">
        <v>2</v>
      </c>
      <c r="C6" s="8" t="s">
        <v>6</v>
      </c>
      <c r="D6" s="8">
        <v>1</v>
      </c>
      <c r="E6" s="8" t="str">
        <f t="shared" si="0"/>
        <v>Ctr</v>
      </c>
      <c r="F6" s="8" t="s">
        <v>68</v>
      </c>
      <c r="G6" s="8" t="s">
        <v>67</v>
      </c>
      <c r="H6" s="7">
        <v>46120</v>
      </c>
    </row>
    <row r="7" spans="1:9" x14ac:dyDescent="0.25">
      <c r="A7" s="8">
        <v>6</v>
      </c>
      <c r="B7" s="8">
        <v>2</v>
      </c>
      <c r="C7" s="8" t="s">
        <v>8</v>
      </c>
      <c r="D7" s="8">
        <v>2</v>
      </c>
      <c r="E7" s="8" t="str">
        <f t="shared" si="0"/>
        <v>Mp</v>
      </c>
      <c r="F7" s="8" t="s">
        <v>68</v>
      </c>
      <c r="G7" s="8" t="s">
        <v>67</v>
      </c>
      <c r="H7" s="7">
        <v>46120</v>
      </c>
    </row>
    <row r="8" spans="1:9" x14ac:dyDescent="0.25">
      <c r="A8" s="8">
        <v>7</v>
      </c>
      <c r="B8" s="8">
        <v>2</v>
      </c>
      <c r="C8" s="8" t="s">
        <v>7</v>
      </c>
      <c r="D8" s="8">
        <v>3</v>
      </c>
      <c r="E8" s="8" t="str">
        <f t="shared" si="0"/>
        <v>Le</v>
      </c>
      <c r="F8" s="8" t="s">
        <v>68</v>
      </c>
      <c r="G8" s="8" t="s">
        <v>67</v>
      </c>
      <c r="H8" s="7">
        <v>46120</v>
      </c>
    </row>
    <row r="9" spans="1:9" x14ac:dyDescent="0.25">
      <c r="A9" s="8">
        <v>8</v>
      </c>
      <c r="B9" s="8">
        <v>2</v>
      </c>
      <c r="C9" s="8" t="s">
        <v>5</v>
      </c>
      <c r="D9" s="8">
        <v>4</v>
      </c>
      <c r="E9" s="8" t="str">
        <f t="shared" si="0"/>
        <v>Bb</v>
      </c>
      <c r="F9" s="8" t="s">
        <v>68</v>
      </c>
      <c r="G9" s="8" t="s">
        <v>67</v>
      </c>
      <c r="H9" s="7">
        <v>46120</v>
      </c>
    </row>
    <row r="10" spans="1:9" x14ac:dyDescent="0.25">
      <c r="A10" s="8">
        <v>9</v>
      </c>
      <c r="B10" s="8">
        <v>3</v>
      </c>
      <c r="C10" s="8" t="s">
        <v>7</v>
      </c>
      <c r="D10" s="8">
        <v>1</v>
      </c>
      <c r="E10" s="8" t="str">
        <f t="shared" si="0"/>
        <v>Le</v>
      </c>
      <c r="F10" s="8" t="s">
        <v>68</v>
      </c>
      <c r="G10" s="8" t="s">
        <v>67</v>
      </c>
      <c r="H10" s="7">
        <v>46120</v>
      </c>
    </row>
    <row r="11" spans="1:9" x14ac:dyDescent="0.25">
      <c r="A11" s="8">
        <v>10</v>
      </c>
      <c r="B11" s="8">
        <v>3</v>
      </c>
      <c r="C11" s="8" t="s">
        <v>8</v>
      </c>
      <c r="D11" s="8">
        <v>2</v>
      </c>
      <c r="E11" s="8" t="str">
        <f t="shared" si="0"/>
        <v>Mp</v>
      </c>
      <c r="F11" s="8" t="s">
        <v>68</v>
      </c>
      <c r="G11" s="8" t="s">
        <v>67</v>
      </c>
      <c r="H11" s="7">
        <v>46120</v>
      </c>
    </row>
    <row r="12" spans="1:9" x14ac:dyDescent="0.25">
      <c r="A12" s="8">
        <v>11</v>
      </c>
      <c r="B12" s="8">
        <v>3</v>
      </c>
      <c r="C12" s="8" t="s">
        <v>5</v>
      </c>
      <c r="D12" s="8">
        <v>3</v>
      </c>
      <c r="E12" s="8" t="str">
        <f t="shared" si="0"/>
        <v>Bb</v>
      </c>
      <c r="F12" s="8" t="s">
        <v>68</v>
      </c>
      <c r="G12" s="8" t="s">
        <v>67</v>
      </c>
      <c r="H12" s="7">
        <v>46120</v>
      </c>
    </row>
    <row r="13" spans="1:9" x14ac:dyDescent="0.25">
      <c r="A13" s="8">
        <v>12</v>
      </c>
      <c r="B13" s="8">
        <v>3</v>
      </c>
      <c r="C13" s="8" t="s">
        <v>6</v>
      </c>
      <c r="D13" s="8">
        <v>4</v>
      </c>
      <c r="E13" s="8" t="str">
        <f t="shared" si="0"/>
        <v>Ctr</v>
      </c>
      <c r="F13" s="8" t="s">
        <v>68</v>
      </c>
      <c r="G13" s="8" t="s">
        <v>67</v>
      </c>
      <c r="H13" s="7">
        <v>46120</v>
      </c>
    </row>
    <row r="14" spans="1:9" x14ac:dyDescent="0.25">
      <c r="A14" s="8">
        <v>13</v>
      </c>
      <c r="B14" s="8">
        <v>4</v>
      </c>
      <c r="C14" s="8" t="s">
        <v>8</v>
      </c>
      <c r="D14" s="8">
        <v>1</v>
      </c>
      <c r="E14" s="8" t="str">
        <f t="shared" si="0"/>
        <v>Mp</v>
      </c>
      <c r="F14" s="8" t="s">
        <v>68</v>
      </c>
      <c r="G14" s="8" t="s">
        <v>67</v>
      </c>
      <c r="H14" s="7">
        <v>46120</v>
      </c>
    </row>
    <row r="15" spans="1:9" x14ac:dyDescent="0.25">
      <c r="A15" s="8">
        <v>14</v>
      </c>
      <c r="B15" s="8">
        <v>4</v>
      </c>
      <c r="C15" s="8" t="s">
        <v>6</v>
      </c>
      <c r="D15" s="8">
        <v>2</v>
      </c>
      <c r="E15" s="8" t="str">
        <f t="shared" si="0"/>
        <v>Ctr</v>
      </c>
      <c r="F15" s="8" t="s">
        <v>68</v>
      </c>
      <c r="G15" s="8" t="s">
        <v>67</v>
      </c>
      <c r="H15" s="7">
        <v>46120</v>
      </c>
    </row>
    <row r="16" spans="1:9" x14ac:dyDescent="0.25">
      <c r="A16" s="8">
        <v>15</v>
      </c>
      <c r="B16" s="8">
        <v>4</v>
      </c>
      <c r="C16" s="8" t="s">
        <v>7</v>
      </c>
      <c r="D16" s="8">
        <v>3</v>
      </c>
      <c r="E16" s="8" t="str">
        <f t="shared" si="0"/>
        <v>Le</v>
      </c>
      <c r="F16" s="8" t="s">
        <v>68</v>
      </c>
      <c r="G16" s="8" t="s">
        <v>67</v>
      </c>
      <c r="H16" s="7">
        <v>46120</v>
      </c>
    </row>
    <row r="17" spans="1:8" x14ac:dyDescent="0.25">
      <c r="A17" s="8">
        <v>16</v>
      </c>
      <c r="B17" s="8">
        <v>4</v>
      </c>
      <c r="C17" s="8" t="s">
        <v>5</v>
      </c>
      <c r="D17" s="8">
        <v>4</v>
      </c>
      <c r="E17" s="8" t="str">
        <f t="shared" si="0"/>
        <v>Bb</v>
      </c>
      <c r="F17" s="8" t="s">
        <v>68</v>
      </c>
      <c r="G17" s="8" t="s">
        <v>67</v>
      </c>
      <c r="H17" s="7">
        <v>46120</v>
      </c>
    </row>
    <row r="18" spans="1:8" x14ac:dyDescent="0.25">
      <c r="A18" s="8">
        <v>17</v>
      </c>
      <c r="B18" s="8">
        <v>5</v>
      </c>
      <c r="C18" s="8" t="s">
        <v>6</v>
      </c>
      <c r="D18" s="8">
        <v>1</v>
      </c>
      <c r="E18" s="8" t="str">
        <f t="shared" si="0"/>
        <v>Ctr</v>
      </c>
      <c r="F18" s="8" t="s">
        <v>68</v>
      </c>
      <c r="G18" s="8" t="s">
        <v>67</v>
      </c>
      <c r="H18" s="7">
        <v>46120</v>
      </c>
    </row>
    <row r="19" spans="1:8" x14ac:dyDescent="0.25">
      <c r="A19" s="8">
        <v>18</v>
      </c>
      <c r="B19" s="8">
        <v>5</v>
      </c>
      <c r="C19" s="8" t="s">
        <v>7</v>
      </c>
      <c r="D19" s="8">
        <v>2</v>
      </c>
      <c r="E19" s="8" t="str">
        <f t="shared" si="0"/>
        <v>Le</v>
      </c>
      <c r="F19" s="8" t="s">
        <v>68</v>
      </c>
      <c r="G19" s="8" t="s">
        <v>67</v>
      </c>
      <c r="H19" s="7">
        <v>46120</v>
      </c>
    </row>
    <row r="20" spans="1:8" x14ac:dyDescent="0.25">
      <c r="A20" s="8">
        <v>19</v>
      </c>
      <c r="B20" s="8">
        <v>5</v>
      </c>
      <c r="C20" s="8" t="s">
        <v>8</v>
      </c>
      <c r="D20" s="8">
        <v>3</v>
      </c>
      <c r="E20" s="8" t="str">
        <f t="shared" si="0"/>
        <v>Mp</v>
      </c>
      <c r="F20" s="8" t="s">
        <v>68</v>
      </c>
      <c r="G20" s="8" t="s">
        <v>67</v>
      </c>
      <c r="H20" s="7">
        <v>46120</v>
      </c>
    </row>
    <row r="21" spans="1:8" x14ac:dyDescent="0.25">
      <c r="A21" s="8">
        <v>20</v>
      </c>
      <c r="B21" s="8">
        <v>5</v>
      </c>
      <c r="C21" s="8" t="s">
        <v>5</v>
      </c>
      <c r="D21" s="8">
        <v>4</v>
      </c>
      <c r="E21" s="8" t="str">
        <f t="shared" si="0"/>
        <v>Bb</v>
      </c>
      <c r="F21" s="8" t="s">
        <v>68</v>
      </c>
      <c r="G21" s="8" t="s">
        <v>67</v>
      </c>
      <c r="H21" s="7">
        <v>46120</v>
      </c>
    </row>
    <row r="22" spans="1:8" x14ac:dyDescent="0.25">
      <c r="A22" s="8">
        <v>21</v>
      </c>
      <c r="B22" s="8">
        <v>6</v>
      </c>
      <c r="C22" s="8" t="s">
        <v>5</v>
      </c>
      <c r="D22" s="8">
        <v>1</v>
      </c>
      <c r="E22" s="8" t="str">
        <f t="shared" si="0"/>
        <v>Bb</v>
      </c>
      <c r="F22" s="8" t="s">
        <v>68</v>
      </c>
      <c r="G22" s="8" t="s">
        <v>67</v>
      </c>
      <c r="H22" s="7">
        <v>46120</v>
      </c>
    </row>
    <row r="23" spans="1:8" x14ac:dyDescent="0.25">
      <c r="A23" s="8">
        <v>22</v>
      </c>
      <c r="B23" s="8">
        <v>6</v>
      </c>
      <c r="C23" s="8" t="s">
        <v>7</v>
      </c>
      <c r="D23" s="8">
        <v>2</v>
      </c>
      <c r="E23" s="8" t="str">
        <f t="shared" si="0"/>
        <v>Le</v>
      </c>
      <c r="F23" s="8" t="s">
        <v>68</v>
      </c>
      <c r="G23" s="8" t="s">
        <v>67</v>
      </c>
      <c r="H23" s="7">
        <v>46120</v>
      </c>
    </row>
    <row r="24" spans="1:8" x14ac:dyDescent="0.25">
      <c r="A24" s="8">
        <v>23</v>
      </c>
      <c r="B24" s="8">
        <v>6</v>
      </c>
      <c r="C24" s="8" t="s">
        <v>8</v>
      </c>
      <c r="D24" s="8">
        <v>3</v>
      </c>
      <c r="E24" s="8" t="str">
        <f t="shared" si="0"/>
        <v>Mp</v>
      </c>
      <c r="F24" s="8" t="s">
        <v>68</v>
      </c>
      <c r="G24" s="8" t="s">
        <v>67</v>
      </c>
      <c r="H24" s="7">
        <v>46120</v>
      </c>
    </row>
    <row r="25" spans="1:8" x14ac:dyDescent="0.25">
      <c r="A25" s="8">
        <v>24</v>
      </c>
      <c r="B25" s="8">
        <v>6</v>
      </c>
      <c r="C25" s="8" t="s">
        <v>6</v>
      </c>
      <c r="D25" s="8">
        <v>4</v>
      </c>
      <c r="E25" s="8" t="str">
        <f t="shared" si="0"/>
        <v>Ctr</v>
      </c>
      <c r="F25" s="8" t="s">
        <v>68</v>
      </c>
      <c r="G25" s="8" t="s">
        <v>67</v>
      </c>
      <c r="H25" s="7">
        <v>46120</v>
      </c>
    </row>
    <row r="26" spans="1:8" x14ac:dyDescent="0.25">
      <c r="A26" s="8">
        <v>25</v>
      </c>
      <c r="B26" s="8">
        <v>7</v>
      </c>
      <c r="C26" s="8" t="s">
        <v>7</v>
      </c>
      <c r="D26" s="8">
        <v>1</v>
      </c>
      <c r="E26" s="8" t="str">
        <f t="shared" si="0"/>
        <v>Le</v>
      </c>
      <c r="F26" s="8" t="s">
        <v>68</v>
      </c>
      <c r="G26" s="8" t="s">
        <v>67</v>
      </c>
      <c r="H26" s="7">
        <v>46120</v>
      </c>
    </row>
    <row r="27" spans="1:8" x14ac:dyDescent="0.25">
      <c r="A27" s="8">
        <v>26</v>
      </c>
      <c r="B27" s="8">
        <v>7</v>
      </c>
      <c r="C27" s="8" t="s">
        <v>6</v>
      </c>
      <c r="D27" s="8">
        <v>2</v>
      </c>
      <c r="E27" s="8" t="str">
        <f t="shared" si="0"/>
        <v>Ctr</v>
      </c>
      <c r="F27" s="8" t="s">
        <v>68</v>
      </c>
      <c r="G27" s="8" t="s">
        <v>67</v>
      </c>
      <c r="H27" s="7">
        <v>46120</v>
      </c>
    </row>
    <row r="28" spans="1:8" x14ac:dyDescent="0.25">
      <c r="A28" s="8">
        <v>27</v>
      </c>
      <c r="B28" s="8">
        <v>7</v>
      </c>
      <c r="C28" s="8" t="s">
        <v>8</v>
      </c>
      <c r="D28" s="8">
        <v>3</v>
      </c>
      <c r="E28" s="8" t="str">
        <f t="shared" si="0"/>
        <v>Mp</v>
      </c>
      <c r="F28" s="8" t="s">
        <v>68</v>
      </c>
      <c r="G28" s="8" t="s">
        <v>67</v>
      </c>
      <c r="H28" s="7">
        <v>46120</v>
      </c>
    </row>
    <row r="29" spans="1:8" x14ac:dyDescent="0.25">
      <c r="A29" s="8">
        <v>28</v>
      </c>
      <c r="B29" s="8">
        <v>7</v>
      </c>
      <c r="C29" s="8" t="s">
        <v>5</v>
      </c>
      <c r="D29" s="8">
        <v>4</v>
      </c>
      <c r="E29" s="8" t="str">
        <f t="shared" si="0"/>
        <v>Bb</v>
      </c>
      <c r="F29" s="8" t="s">
        <v>68</v>
      </c>
      <c r="G29" s="8" t="s">
        <v>67</v>
      </c>
      <c r="H29" s="7">
        <v>46120</v>
      </c>
    </row>
    <row r="30" spans="1:8" x14ac:dyDescent="0.25">
      <c r="A30" s="8">
        <v>29</v>
      </c>
      <c r="B30" s="8">
        <v>8</v>
      </c>
      <c r="C30" s="8" t="s">
        <v>5</v>
      </c>
      <c r="D30" s="8">
        <v>1</v>
      </c>
      <c r="E30" s="8" t="str">
        <f t="shared" si="0"/>
        <v>Bb</v>
      </c>
      <c r="F30" s="8" t="s">
        <v>68</v>
      </c>
      <c r="G30" s="8" t="s">
        <v>67</v>
      </c>
      <c r="H30" s="7">
        <v>46120</v>
      </c>
    </row>
    <row r="31" spans="1:8" x14ac:dyDescent="0.25">
      <c r="A31" s="8">
        <v>30</v>
      </c>
      <c r="B31" s="8">
        <v>8</v>
      </c>
      <c r="C31" s="8" t="s">
        <v>8</v>
      </c>
      <c r="D31" s="8">
        <v>2</v>
      </c>
      <c r="E31" s="8" t="str">
        <f t="shared" si="0"/>
        <v>Mp</v>
      </c>
      <c r="F31" s="8" t="s">
        <v>68</v>
      </c>
      <c r="G31" s="8" t="s">
        <v>67</v>
      </c>
      <c r="H31" s="7">
        <v>46120</v>
      </c>
    </row>
    <row r="32" spans="1:8" x14ac:dyDescent="0.25">
      <c r="A32" s="8">
        <v>31</v>
      </c>
      <c r="B32" s="8">
        <v>8</v>
      </c>
      <c r="C32" s="8" t="s">
        <v>6</v>
      </c>
      <c r="D32" s="8">
        <v>3</v>
      </c>
      <c r="E32" s="8" t="str">
        <f t="shared" si="0"/>
        <v>Ctr</v>
      </c>
      <c r="F32" s="8" t="s">
        <v>68</v>
      </c>
      <c r="G32" s="8" t="s">
        <v>67</v>
      </c>
      <c r="H32" s="7">
        <v>46120</v>
      </c>
    </row>
    <row r="33" spans="1:8" x14ac:dyDescent="0.25">
      <c r="A33" s="8">
        <v>32</v>
      </c>
      <c r="B33" s="8">
        <v>8</v>
      </c>
      <c r="C33" s="8" t="s">
        <v>7</v>
      </c>
      <c r="D33" s="8">
        <v>4</v>
      </c>
      <c r="E33" s="8" t="str">
        <f t="shared" si="0"/>
        <v>Le</v>
      </c>
      <c r="F33" s="8" t="s">
        <v>68</v>
      </c>
      <c r="G33" s="8" t="s">
        <v>67</v>
      </c>
      <c r="H33" s="7">
        <v>46120</v>
      </c>
    </row>
    <row r="34" spans="1:8" x14ac:dyDescent="0.25">
      <c r="A34" s="8">
        <v>33</v>
      </c>
      <c r="B34" s="8">
        <v>9</v>
      </c>
      <c r="C34" s="8" t="s">
        <v>8</v>
      </c>
      <c r="D34" s="8">
        <v>1</v>
      </c>
      <c r="E34" s="8" t="str">
        <f t="shared" ref="E34:E57" si="1">IF(C34="Brevicoryne","Bb",
IF(C34="Control","Ctr",
IF(C34="Myzus","Mp",
IF(C34="Lipaphis","Le",""))))</f>
        <v>Mp</v>
      </c>
      <c r="F34" s="8" t="s">
        <v>68</v>
      </c>
      <c r="G34" s="8" t="s">
        <v>67</v>
      </c>
      <c r="H34" s="7">
        <v>46120</v>
      </c>
    </row>
    <row r="35" spans="1:8" x14ac:dyDescent="0.25">
      <c r="A35" s="8">
        <v>34</v>
      </c>
      <c r="B35" s="8">
        <v>9</v>
      </c>
      <c r="C35" s="8" t="s">
        <v>6</v>
      </c>
      <c r="D35" s="8">
        <v>2</v>
      </c>
      <c r="E35" s="8" t="str">
        <f t="shared" si="1"/>
        <v>Ctr</v>
      </c>
      <c r="F35" s="8" t="s">
        <v>68</v>
      </c>
      <c r="G35" s="8" t="s">
        <v>67</v>
      </c>
      <c r="H35" s="7">
        <v>46120</v>
      </c>
    </row>
    <row r="36" spans="1:8" x14ac:dyDescent="0.25">
      <c r="A36" s="8">
        <v>35</v>
      </c>
      <c r="B36" s="8">
        <v>9</v>
      </c>
      <c r="C36" s="8" t="s">
        <v>7</v>
      </c>
      <c r="D36" s="8">
        <v>3</v>
      </c>
      <c r="E36" s="8" t="str">
        <f t="shared" si="1"/>
        <v>Le</v>
      </c>
      <c r="F36" s="8" t="s">
        <v>68</v>
      </c>
      <c r="G36" s="8" t="s">
        <v>67</v>
      </c>
      <c r="H36" s="7">
        <v>46120</v>
      </c>
    </row>
    <row r="37" spans="1:8" x14ac:dyDescent="0.25">
      <c r="A37" s="8">
        <v>36</v>
      </c>
      <c r="B37" s="8">
        <v>9</v>
      </c>
      <c r="C37" s="8" t="s">
        <v>5</v>
      </c>
      <c r="D37" s="8">
        <v>4</v>
      </c>
      <c r="E37" s="8" t="str">
        <f t="shared" si="1"/>
        <v>Bb</v>
      </c>
      <c r="F37" s="8" t="s">
        <v>68</v>
      </c>
      <c r="G37" s="8" t="s">
        <v>67</v>
      </c>
      <c r="H37" s="7">
        <v>46120</v>
      </c>
    </row>
    <row r="38" spans="1:8" x14ac:dyDescent="0.25">
      <c r="A38" s="8">
        <v>37</v>
      </c>
      <c r="B38" s="8">
        <v>10</v>
      </c>
      <c r="C38" s="8" t="s">
        <v>7</v>
      </c>
      <c r="D38" s="8">
        <v>1</v>
      </c>
      <c r="E38" s="8" t="str">
        <f t="shared" si="1"/>
        <v>Le</v>
      </c>
      <c r="F38" s="8" t="s">
        <v>68</v>
      </c>
      <c r="G38" s="8" t="s">
        <v>67</v>
      </c>
      <c r="H38" s="7">
        <v>46120</v>
      </c>
    </row>
    <row r="39" spans="1:8" x14ac:dyDescent="0.25">
      <c r="A39" s="8">
        <v>38</v>
      </c>
      <c r="B39" s="8">
        <v>10</v>
      </c>
      <c r="C39" s="8" t="s">
        <v>6</v>
      </c>
      <c r="D39" s="8">
        <v>2</v>
      </c>
      <c r="E39" s="8" t="str">
        <f t="shared" si="1"/>
        <v>Ctr</v>
      </c>
      <c r="F39" s="8" t="s">
        <v>68</v>
      </c>
      <c r="G39" s="8" t="s">
        <v>67</v>
      </c>
      <c r="H39" s="7">
        <v>46120</v>
      </c>
    </row>
    <row r="40" spans="1:8" x14ac:dyDescent="0.25">
      <c r="A40" s="8">
        <v>39</v>
      </c>
      <c r="B40" s="8">
        <v>10</v>
      </c>
      <c r="C40" s="8" t="s">
        <v>8</v>
      </c>
      <c r="D40" s="8">
        <v>3</v>
      </c>
      <c r="E40" s="8" t="str">
        <f t="shared" si="1"/>
        <v>Mp</v>
      </c>
      <c r="F40" s="8" t="s">
        <v>68</v>
      </c>
      <c r="G40" s="8" t="s">
        <v>67</v>
      </c>
      <c r="H40" s="7">
        <v>46120</v>
      </c>
    </row>
    <row r="41" spans="1:8" x14ac:dyDescent="0.25">
      <c r="A41" s="8">
        <v>40</v>
      </c>
      <c r="B41" s="8">
        <v>10</v>
      </c>
      <c r="C41" s="8" t="s">
        <v>5</v>
      </c>
      <c r="D41" s="8">
        <v>4</v>
      </c>
      <c r="E41" s="8" t="str">
        <f t="shared" si="1"/>
        <v>Bb</v>
      </c>
      <c r="F41" s="8" t="s">
        <v>68</v>
      </c>
      <c r="G41" s="8" t="s">
        <v>67</v>
      </c>
      <c r="H41" s="7">
        <v>46120</v>
      </c>
    </row>
    <row r="42" spans="1:8" x14ac:dyDescent="0.25">
      <c r="A42" s="8">
        <v>41</v>
      </c>
      <c r="B42" s="8">
        <v>11</v>
      </c>
      <c r="C42" s="8" t="s">
        <v>6</v>
      </c>
      <c r="D42" s="8">
        <v>1</v>
      </c>
      <c r="E42" s="8" t="str">
        <f t="shared" si="1"/>
        <v>Ctr</v>
      </c>
      <c r="F42" s="8" t="s">
        <v>68</v>
      </c>
      <c r="G42" s="8" t="s">
        <v>67</v>
      </c>
      <c r="H42" s="7">
        <v>46120</v>
      </c>
    </row>
    <row r="43" spans="1:8" x14ac:dyDescent="0.25">
      <c r="A43" s="8">
        <v>42</v>
      </c>
      <c r="B43" s="8">
        <v>11</v>
      </c>
      <c r="C43" s="8" t="s">
        <v>7</v>
      </c>
      <c r="D43" s="8">
        <v>2</v>
      </c>
      <c r="E43" s="8" t="str">
        <f t="shared" si="1"/>
        <v>Le</v>
      </c>
      <c r="F43" s="8" t="s">
        <v>68</v>
      </c>
      <c r="G43" s="8" t="s">
        <v>67</v>
      </c>
      <c r="H43" s="7">
        <v>46120</v>
      </c>
    </row>
    <row r="44" spans="1:8" x14ac:dyDescent="0.25">
      <c r="A44" s="8">
        <v>43</v>
      </c>
      <c r="B44" s="8">
        <v>11</v>
      </c>
      <c r="C44" s="8" t="s">
        <v>5</v>
      </c>
      <c r="D44" s="8">
        <v>3</v>
      </c>
      <c r="E44" s="8" t="str">
        <f t="shared" si="1"/>
        <v>Bb</v>
      </c>
      <c r="F44" s="8" t="s">
        <v>68</v>
      </c>
      <c r="G44" s="8" t="s">
        <v>67</v>
      </c>
      <c r="H44" s="7">
        <v>46120</v>
      </c>
    </row>
    <row r="45" spans="1:8" x14ac:dyDescent="0.25">
      <c r="A45" s="8">
        <v>44</v>
      </c>
      <c r="B45" s="8">
        <v>11</v>
      </c>
      <c r="C45" s="8" t="s">
        <v>8</v>
      </c>
      <c r="D45" s="8">
        <v>4</v>
      </c>
      <c r="E45" s="8" t="str">
        <f t="shared" si="1"/>
        <v>Mp</v>
      </c>
      <c r="F45" s="8" t="s">
        <v>68</v>
      </c>
      <c r="G45" s="8" t="s">
        <v>67</v>
      </c>
      <c r="H45" s="7">
        <v>46120</v>
      </c>
    </row>
    <row r="46" spans="1:8" x14ac:dyDescent="0.25">
      <c r="A46" s="8">
        <v>45</v>
      </c>
      <c r="B46" s="8">
        <v>12</v>
      </c>
      <c r="C46" s="8" t="s">
        <v>7</v>
      </c>
      <c r="D46" s="8">
        <v>1</v>
      </c>
      <c r="E46" s="8" t="str">
        <f t="shared" si="1"/>
        <v>Le</v>
      </c>
      <c r="F46" s="8" t="s">
        <v>68</v>
      </c>
      <c r="G46" s="8" t="s">
        <v>67</v>
      </c>
      <c r="H46" s="7">
        <v>46120</v>
      </c>
    </row>
    <row r="47" spans="1:8" x14ac:dyDescent="0.25">
      <c r="A47" s="8">
        <v>46</v>
      </c>
      <c r="B47" s="8">
        <v>12</v>
      </c>
      <c r="C47" s="8" t="s">
        <v>6</v>
      </c>
      <c r="D47" s="8">
        <v>2</v>
      </c>
      <c r="E47" s="8" t="str">
        <f t="shared" si="1"/>
        <v>Ctr</v>
      </c>
      <c r="F47" s="8" t="s">
        <v>68</v>
      </c>
      <c r="G47" s="8" t="s">
        <v>67</v>
      </c>
      <c r="H47" s="7">
        <v>46120</v>
      </c>
    </row>
    <row r="48" spans="1:8" x14ac:dyDescent="0.25">
      <c r="A48" s="8">
        <v>47</v>
      </c>
      <c r="B48" s="8">
        <v>12</v>
      </c>
      <c r="C48" s="8" t="s">
        <v>5</v>
      </c>
      <c r="D48" s="8">
        <v>3</v>
      </c>
      <c r="E48" s="8" t="str">
        <f t="shared" si="1"/>
        <v>Bb</v>
      </c>
      <c r="F48" s="8" t="s">
        <v>68</v>
      </c>
      <c r="G48" s="8" t="s">
        <v>67</v>
      </c>
      <c r="H48" s="7">
        <v>46120</v>
      </c>
    </row>
    <row r="49" spans="1:8" x14ac:dyDescent="0.25">
      <c r="A49" s="8">
        <v>48</v>
      </c>
      <c r="B49" s="8">
        <v>12</v>
      </c>
      <c r="C49" s="8" t="s">
        <v>8</v>
      </c>
      <c r="D49" s="8">
        <v>4</v>
      </c>
      <c r="E49" s="8" t="str">
        <f t="shared" si="1"/>
        <v>Mp</v>
      </c>
      <c r="F49" s="8" t="s">
        <v>68</v>
      </c>
      <c r="G49" s="8" t="s">
        <v>67</v>
      </c>
      <c r="H49" s="7">
        <v>46120</v>
      </c>
    </row>
    <row r="50" spans="1:8" x14ac:dyDescent="0.25">
      <c r="A50" s="8">
        <v>49</v>
      </c>
      <c r="B50" s="8">
        <v>13</v>
      </c>
      <c r="C50" s="8" t="s">
        <v>6</v>
      </c>
      <c r="D50" s="8">
        <v>1</v>
      </c>
      <c r="E50" s="8" t="str">
        <f t="shared" si="1"/>
        <v>Ctr</v>
      </c>
      <c r="F50" s="8" t="s">
        <v>68</v>
      </c>
      <c r="G50" s="8" t="s">
        <v>67</v>
      </c>
      <c r="H50" s="7">
        <v>46120</v>
      </c>
    </row>
    <row r="51" spans="1:8" x14ac:dyDescent="0.25">
      <c r="A51" s="8">
        <v>50</v>
      </c>
      <c r="B51" s="8">
        <v>13</v>
      </c>
      <c r="C51" s="8" t="s">
        <v>8</v>
      </c>
      <c r="D51" s="8">
        <v>2</v>
      </c>
      <c r="E51" s="8" t="str">
        <f t="shared" si="1"/>
        <v>Mp</v>
      </c>
      <c r="F51" s="8" t="s">
        <v>68</v>
      </c>
      <c r="G51" s="8" t="s">
        <v>67</v>
      </c>
      <c r="H51" s="7">
        <v>46120</v>
      </c>
    </row>
    <row r="52" spans="1:8" x14ac:dyDescent="0.25">
      <c r="A52" s="8">
        <v>51</v>
      </c>
      <c r="B52" s="8">
        <v>13</v>
      </c>
      <c r="C52" s="8" t="s">
        <v>7</v>
      </c>
      <c r="D52" s="8">
        <v>3</v>
      </c>
      <c r="E52" s="8" t="str">
        <f t="shared" si="1"/>
        <v>Le</v>
      </c>
      <c r="F52" s="8" t="s">
        <v>68</v>
      </c>
      <c r="G52" s="8" t="s">
        <v>67</v>
      </c>
      <c r="H52" s="7">
        <v>46120</v>
      </c>
    </row>
    <row r="53" spans="1:8" x14ac:dyDescent="0.25">
      <c r="A53" s="8">
        <v>52</v>
      </c>
      <c r="B53" s="8">
        <v>13</v>
      </c>
      <c r="C53" s="8" t="s">
        <v>5</v>
      </c>
      <c r="D53" s="8">
        <v>4</v>
      </c>
      <c r="E53" s="8" t="str">
        <f t="shared" si="1"/>
        <v>Bb</v>
      </c>
      <c r="F53" s="8" t="s">
        <v>68</v>
      </c>
      <c r="G53" s="8" t="s">
        <v>67</v>
      </c>
      <c r="H53" s="7">
        <v>46120</v>
      </c>
    </row>
    <row r="54" spans="1:8" x14ac:dyDescent="0.25">
      <c r="A54" s="8">
        <v>53</v>
      </c>
      <c r="B54" s="8">
        <v>14</v>
      </c>
      <c r="C54" s="8" t="s">
        <v>6</v>
      </c>
      <c r="D54" s="8">
        <v>1</v>
      </c>
      <c r="E54" s="8" t="str">
        <f t="shared" si="1"/>
        <v>Ctr</v>
      </c>
      <c r="F54" s="8" t="s">
        <v>68</v>
      </c>
      <c r="G54" s="8" t="s">
        <v>67</v>
      </c>
      <c r="H54" s="7">
        <v>46120</v>
      </c>
    </row>
    <row r="55" spans="1:8" x14ac:dyDescent="0.25">
      <c r="A55" s="8">
        <v>54</v>
      </c>
      <c r="B55" s="8">
        <v>14</v>
      </c>
      <c r="C55" s="8" t="s">
        <v>5</v>
      </c>
      <c r="D55" s="8">
        <v>2</v>
      </c>
      <c r="E55" s="8" t="str">
        <f t="shared" si="1"/>
        <v>Bb</v>
      </c>
      <c r="F55" s="8" t="s">
        <v>68</v>
      </c>
      <c r="G55" s="8" t="s">
        <v>67</v>
      </c>
      <c r="H55" s="7">
        <v>46120</v>
      </c>
    </row>
    <row r="56" spans="1:8" x14ac:dyDescent="0.25">
      <c r="A56" s="8">
        <v>55</v>
      </c>
      <c r="B56" s="8">
        <v>14</v>
      </c>
      <c r="C56" s="8" t="s">
        <v>8</v>
      </c>
      <c r="D56" s="8">
        <v>3</v>
      </c>
      <c r="E56" s="8" t="str">
        <f t="shared" si="1"/>
        <v>Mp</v>
      </c>
      <c r="F56" s="8" t="s">
        <v>68</v>
      </c>
      <c r="G56" s="8" t="s">
        <v>67</v>
      </c>
      <c r="H56" s="7">
        <v>46120</v>
      </c>
    </row>
    <row r="57" spans="1:8" x14ac:dyDescent="0.25">
      <c r="A57" s="8">
        <v>56</v>
      </c>
      <c r="B57" s="8">
        <v>14</v>
      </c>
      <c r="C57" s="8" t="s">
        <v>7</v>
      </c>
      <c r="D57" s="8">
        <v>4</v>
      </c>
      <c r="E57" s="8" t="str">
        <f t="shared" si="1"/>
        <v>Le</v>
      </c>
      <c r="F57" s="8" t="s">
        <v>68</v>
      </c>
      <c r="G57" s="8" t="s">
        <v>67</v>
      </c>
      <c r="H57" s="7">
        <v>46120</v>
      </c>
    </row>
    <row r="58" spans="1:8" x14ac:dyDescent="0.25">
      <c r="A58" s="8">
        <v>57</v>
      </c>
      <c r="B58" s="8" t="s">
        <v>70</v>
      </c>
      <c r="C58" s="8" t="s">
        <v>69</v>
      </c>
      <c r="D58" s="8" t="s">
        <v>70</v>
      </c>
      <c r="E58" s="8" t="s">
        <v>69</v>
      </c>
      <c r="F58" s="8" t="s">
        <v>68</v>
      </c>
      <c r="G58" s="8" t="s">
        <v>67</v>
      </c>
      <c r="H58" s="7">
        <v>46120</v>
      </c>
    </row>
    <row r="59" spans="1:8" x14ac:dyDescent="0.25">
      <c r="A59" s="8">
        <v>58</v>
      </c>
      <c r="B59" s="8" t="s">
        <v>70</v>
      </c>
      <c r="C59" s="8" t="s">
        <v>69</v>
      </c>
      <c r="D59" s="8" t="s">
        <v>70</v>
      </c>
      <c r="E59" s="8" t="s">
        <v>69</v>
      </c>
      <c r="F59" s="8" t="s">
        <v>68</v>
      </c>
      <c r="G59" s="8" t="s">
        <v>67</v>
      </c>
      <c r="H59" s="7">
        <v>46120</v>
      </c>
    </row>
    <row r="60" spans="1:8" x14ac:dyDescent="0.25">
      <c r="A60" s="8">
        <v>59</v>
      </c>
      <c r="B60" s="8" t="s">
        <v>70</v>
      </c>
      <c r="C60" s="8" t="s">
        <v>69</v>
      </c>
      <c r="D60" s="8" t="s">
        <v>70</v>
      </c>
      <c r="E60" s="8" t="s">
        <v>69</v>
      </c>
      <c r="F60" s="8" t="s">
        <v>68</v>
      </c>
      <c r="G60" s="8" t="s">
        <v>67</v>
      </c>
      <c r="H60" s="7">
        <v>46120</v>
      </c>
    </row>
    <row r="61" spans="1:8" x14ac:dyDescent="0.25">
      <c r="A61" s="8">
        <v>60</v>
      </c>
      <c r="B61" s="8" t="s">
        <v>70</v>
      </c>
      <c r="C61" s="8" t="s">
        <v>69</v>
      </c>
      <c r="D61" s="8" t="s">
        <v>70</v>
      </c>
      <c r="E61" s="8" t="s">
        <v>69</v>
      </c>
      <c r="F61" s="8" t="s">
        <v>68</v>
      </c>
      <c r="G61" s="8" t="s">
        <v>67</v>
      </c>
      <c r="H61" s="7">
        <v>46120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5DE6-6B1F-430E-B542-0CC46359B435}">
  <sheetPr>
    <tabColor theme="0" tint="-0.14999847407452621"/>
  </sheetPr>
  <dimension ref="A1:H61"/>
  <sheetViews>
    <sheetView workbookViewId="0">
      <selection activeCell="D58" sqref="D58:D61"/>
    </sheetView>
  </sheetViews>
  <sheetFormatPr defaultRowHeight="15" x14ac:dyDescent="0.25"/>
  <cols>
    <col min="1" max="1" width="6.140625" style="8" customWidth="1"/>
    <col min="2" max="2" width="7.140625" style="8" customWidth="1"/>
    <col min="3" max="4" width="13.28515625" style="8" customWidth="1"/>
    <col min="5" max="5" width="11" style="8" customWidth="1"/>
    <col min="6" max="6" width="14.85546875" style="8" customWidth="1"/>
    <col min="7" max="7" width="14.5703125" style="8" customWidth="1"/>
    <col min="8" max="8" width="12.5703125" customWidth="1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4</v>
      </c>
      <c r="E1" s="9" t="s">
        <v>75</v>
      </c>
      <c r="F1" s="9" t="s">
        <v>74</v>
      </c>
      <c r="G1" s="9" t="s">
        <v>73</v>
      </c>
      <c r="H1" s="9" t="s">
        <v>72</v>
      </c>
    </row>
    <row r="2" spans="1:8" x14ac:dyDescent="0.25">
      <c r="A2" s="8">
        <v>1</v>
      </c>
      <c r="B2" s="8">
        <v>1</v>
      </c>
      <c r="C2" s="8" t="s">
        <v>5</v>
      </c>
      <c r="D2" s="8">
        <v>1</v>
      </c>
      <c r="E2" s="8" t="str">
        <f>IF(C2="Brevicoryne","Bb",
IF(C2="Control","Ctr",
IF(C2="Myzus","Mp",
IF(C2="Lipaphis","Le",""))))</f>
        <v>Bb</v>
      </c>
      <c r="F2" s="8" t="s">
        <v>76</v>
      </c>
      <c r="G2" s="8" t="s">
        <v>77</v>
      </c>
      <c r="H2" s="7">
        <v>46120</v>
      </c>
    </row>
    <row r="3" spans="1:8" x14ac:dyDescent="0.25">
      <c r="A3" s="8">
        <v>2</v>
      </c>
      <c r="B3" s="8">
        <v>1</v>
      </c>
      <c r="C3" s="8" t="s">
        <v>6</v>
      </c>
      <c r="D3" s="8">
        <v>2</v>
      </c>
      <c r="E3" s="8" t="str">
        <f t="shared" ref="E3:E57" si="0">IF(C3="Brevicoryne","Bb",
IF(C3="Control","Ctr",
IF(C3="Myzus","Mp",
IF(C3="Lipaphis","Le",""))))</f>
        <v>Ctr</v>
      </c>
      <c r="F3" s="8" t="s">
        <v>76</v>
      </c>
      <c r="G3" s="8" t="s">
        <v>77</v>
      </c>
      <c r="H3" s="7">
        <v>46120</v>
      </c>
    </row>
    <row r="4" spans="1:8" x14ac:dyDescent="0.25">
      <c r="A4" s="8">
        <v>3</v>
      </c>
      <c r="B4" s="8">
        <v>1</v>
      </c>
      <c r="C4" s="8" t="s">
        <v>7</v>
      </c>
      <c r="D4" s="8">
        <v>3</v>
      </c>
      <c r="E4" s="8" t="str">
        <f t="shared" si="0"/>
        <v>Le</v>
      </c>
      <c r="F4" s="8" t="s">
        <v>76</v>
      </c>
      <c r="G4" s="8" t="s">
        <v>77</v>
      </c>
      <c r="H4" s="7">
        <v>46120</v>
      </c>
    </row>
    <row r="5" spans="1:8" x14ac:dyDescent="0.25">
      <c r="A5" s="8">
        <v>4</v>
      </c>
      <c r="B5" s="8">
        <v>1</v>
      </c>
      <c r="C5" s="8" t="s">
        <v>8</v>
      </c>
      <c r="D5" s="8">
        <v>4</v>
      </c>
      <c r="E5" s="8" t="str">
        <f t="shared" si="0"/>
        <v>Mp</v>
      </c>
      <c r="F5" s="8" t="s">
        <v>76</v>
      </c>
      <c r="G5" s="8" t="s">
        <v>77</v>
      </c>
      <c r="H5" s="7">
        <v>46120</v>
      </c>
    </row>
    <row r="6" spans="1:8" x14ac:dyDescent="0.25">
      <c r="A6" s="8">
        <v>5</v>
      </c>
      <c r="B6" s="8">
        <v>2</v>
      </c>
      <c r="C6" s="8" t="s">
        <v>6</v>
      </c>
      <c r="D6" s="8">
        <v>1</v>
      </c>
      <c r="E6" s="8" t="str">
        <f t="shared" si="0"/>
        <v>Ctr</v>
      </c>
      <c r="F6" s="8" t="s">
        <v>76</v>
      </c>
      <c r="G6" s="8" t="s">
        <v>77</v>
      </c>
      <c r="H6" s="7">
        <v>46120</v>
      </c>
    </row>
    <row r="7" spans="1:8" x14ac:dyDescent="0.25">
      <c r="A7" s="8">
        <v>6</v>
      </c>
      <c r="B7" s="8">
        <v>2</v>
      </c>
      <c r="C7" s="8" t="s">
        <v>8</v>
      </c>
      <c r="D7" s="8">
        <v>2</v>
      </c>
      <c r="E7" s="8" t="str">
        <f t="shared" si="0"/>
        <v>Mp</v>
      </c>
      <c r="F7" s="8" t="s">
        <v>76</v>
      </c>
      <c r="G7" s="8" t="s">
        <v>77</v>
      </c>
      <c r="H7" s="7">
        <v>46120</v>
      </c>
    </row>
    <row r="8" spans="1:8" x14ac:dyDescent="0.25">
      <c r="A8" s="8">
        <v>7</v>
      </c>
      <c r="B8" s="8">
        <v>2</v>
      </c>
      <c r="C8" s="8" t="s">
        <v>7</v>
      </c>
      <c r="D8" s="8">
        <v>3</v>
      </c>
      <c r="E8" s="8" t="str">
        <f t="shared" si="0"/>
        <v>Le</v>
      </c>
      <c r="F8" s="8" t="s">
        <v>76</v>
      </c>
      <c r="G8" s="8" t="s">
        <v>77</v>
      </c>
      <c r="H8" s="7">
        <v>46120</v>
      </c>
    </row>
    <row r="9" spans="1:8" x14ac:dyDescent="0.25">
      <c r="A9" s="8">
        <v>8</v>
      </c>
      <c r="B9" s="8">
        <v>2</v>
      </c>
      <c r="C9" s="8" t="s">
        <v>5</v>
      </c>
      <c r="D9" s="8">
        <v>4</v>
      </c>
      <c r="E9" s="8" t="str">
        <f t="shared" si="0"/>
        <v>Bb</v>
      </c>
      <c r="F9" s="8" t="s">
        <v>76</v>
      </c>
      <c r="G9" s="8" t="s">
        <v>77</v>
      </c>
      <c r="H9" s="7">
        <v>46120</v>
      </c>
    </row>
    <row r="10" spans="1:8" x14ac:dyDescent="0.25">
      <c r="A10" s="8">
        <v>9</v>
      </c>
      <c r="B10" s="8">
        <v>3</v>
      </c>
      <c r="C10" s="8" t="s">
        <v>7</v>
      </c>
      <c r="D10" s="8">
        <v>1</v>
      </c>
      <c r="E10" s="8" t="str">
        <f t="shared" si="0"/>
        <v>Le</v>
      </c>
      <c r="F10" s="8" t="s">
        <v>76</v>
      </c>
      <c r="G10" s="8" t="s">
        <v>77</v>
      </c>
      <c r="H10" s="7">
        <v>46120</v>
      </c>
    </row>
    <row r="11" spans="1:8" x14ac:dyDescent="0.25">
      <c r="A11" s="8">
        <v>10</v>
      </c>
      <c r="B11" s="8">
        <v>3</v>
      </c>
      <c r="C11" s="8" t="s">
        <v>8</v>
      </c>
      <c r="D11" s="8">
        <v>2</v>
      </c>
      <c r="E11" s="8" t="str">
        <f t="shared" si="0"/>
        <v>Mp</v>
      </c>
      <c r="F11" s="8" t="s">
        <v>76</v>
      </c>
      <c r="G11" s="8" t="s">
        <v>77</v>
      </c>
      <c r="H11" s="7">
        <v>46120</v>
      </c>
    </row>
    <row r="12" spans="1:8" x14ac:dyDescent="0.25">
      <c r="A12" s="8">
        <v>11</v>
      </c>
      <c r="B12" s="8">
        <v>3</v>
      </c>
      <c r="C12" s="8" t="s">
        <v>5</v>
      </c>
      <c r="D12" s="8">
        <v>3</v>
      </c>
      <c r="E12" s="8" t="str">
        <f t="shared" si="0"/>
        <v>Bb</v>
      </c>
      <c r="F12" s="8" t="s">
        <v>76</v>
      </c>
      <c r="G12" s="8" t="s">
        <v>77</v>
      </c>
      <c r="H12" s="7">
        <v>46120</v>
      </c>
    </row>
    <row r="13" spans="1:8" x14ac:dyDescent="0.25">
      <c r="A13" s="8">
        <v>12</v>
      </c>
      <c r="B13" s="8">
        <v>3</v>
      </c>
      <c r="C13" s="8" t="s">
        <v>6</v>
      </c>
      <c r="D13" s="8">
        <v>4</v>
      </c>
      <c r="E13" s="8" t="str">
        <f t="shared" si="0"/>
        <v>Ctr</v>
      </c>
      <c r="F13" s="8" t="s">
        <v>76</v>
      </c>
      <c r="G13" s="8" t="s">
        <v>77</v>
      </c>
      <c r="H13" s="7">
        <v>46120</v>
      </c>
    </row>
    <row r="14" spans="1:8" x14ac:dyDescent="0.25">
      <c r="A14" s="8">
        <v>13</v>
      </c>
      <c r="B14" s="8">
        <v>4</v>
      </c>
      <c r="C14" s="8" t="s">
        <v>8</v>
      </c>
      <c r="D14" s="8">
        <v>1</v>
      </c>
      <c r="E14" s="8" t="str">
        <f t="shared" si="0"/>
        <v>Mp</v>
      </c>
      <c r="F14" s="8" t="s">
        <v>76</v>
      </c>
      <c r="G14" s="8" t="s">
        <v>77</v>
      </c>
      <c r="H14" s="7">
        <v>46120</v>
      </c>
    </row>
    <row r="15" spans="1:8" x14ac:dyDescent="0.25">
      <c r="A15" s="8">
        <v>14</v>
      </c>
      <c r="B15" s="8">
        <v>4</v>
      </c>
      <c r="C15" s="8" t="s">
        <v>6</v>
      </c>
      <c r="D15" s="8">
        <v>2</v>
      </c>
      <c r="E15" s="8" t="str">
        <f t="shared" si="0"/>
        <v>Ctr</v>
      </c>
      <c r="F15" s="8" t="s">
        <v>76</v>
      </c>
      <c r="G15" s="8" t="s">
        <v>77</v>
      </c>
      <c r="H15" s="7">
        <v>46120</v>
      </c>
    </row>
    <row r="16" spans="1:8" x14ac:dyDescent="0.25">
      <c r="A16" s="8">
        <v>15</v>
      </c>
      <c r="B16" s="8">
        <v>4</v>
      </c>
      <c r="C16" s="8" t="s">
        <v>7</v>
      </c>
      <c r="D16" s="8">
        <v>3</v>
      </c>
      <c r="E16" s="8" t="str">
        <f t="shared" si="0"/>
        <v>Le</v>
      </c>
      <c r="F16" s="8" t="s">
        <v>76</v>
      </c>
      <c r="G16" s="8" t="s">
        <v>77</v>
      </c>
      <c r="H16" s="7">
        <v>46120</v>
      </c>
    </row>
    <row r="17" spans="1:8" x14ac:dyDescent="0.25">
      <c r="A17" s="8">
        <v>16</v>
      </c>
      <c r="B17" s="8">
        <v>4</v>
      </c>
      <c r="C17" s="8" t="s">
        <v>5</v>
      </c>
      <c r="D17" s="8">
        <v>4</v>
      </c>
      <c r="E17" s="8" t="str">
        <f t="shared" si="0"/>
        <v>Bb</v>
      </c>
      <c r="F17" s="8" t="s">
        <v>76</v>
      </c>
      <c r="G17" s="8" t="s">
        <v>77</v>
      </c>
      <c r="H17" s="7">
        <v>46120</v>
      </c>
    </row>
    <row r="18" spans="1:8" x14ac:dyDescent="0.25">
      <c r="A18" s="8">
        <v>17</v>
      </c>
      <c r="B18" s="8">
        <v>5</v>
      </c>
      <c r="C18" s="8" t="s">
        <v>6</v>
      </c>
      <c r="D18" s="8">
        <v>1</v>
      </c>
      <c r="E18" s="8" t="str">
        <f t="shared" si="0"/>
        <v>Ctr</v>
      </c>
      <c r="F18" s="8" t="s">
        <v>76</v>
      </c>
      <c r="G18" s="8" t="s">
        <v>77</v>
      </c>
      <c r="H18" s="7">
        <v>46120</v>
      </c>
    </row>
    <row r="19" spans="1:8" x14ac:dyDescent="0.25">
      <c r="A19" s="8">
        <v>18</v>
      </c>
      <c r="B19" s="8">
        <v>5</v>
      </c>
      <c r="C19" s="8" t="s">
        <v>7</v>
      </c>
      <c r="D19" s="8">
        <v>2</v>
      </c>
      <c r="E19" s="8" t="str">
        <f t="shared" si="0"/>
        <v>Le</v>
      </c>
      <c r="F19" s="8" t="s">
        <v>76</v>
      </c>
      <c r="G19" s="8" t="s">
        <v>77</v>
      </c>
      <c r="H19" s="7">
        <v>46120</v>
      </c>
    </row>
    <row r="20" spans="1:8" x14ac:dyDescent="0.25">
      <c r="A20" s="8">
        <v>19</v>
      </c>
      <c r="B20" s="8">
        <v>5</v>
      </c>
      <c r="C20" s="8" t="s">
        <v>8</v>
      </c>
      <c r="D20" s="8">
        <v>3</v>
      </c>
      <c r="E20" s="8" t="str">
        <f t="shared" si="0"/>
        <v>Mp</v>
      </c>
      <c r="F20" s="8" t="s">
        <v>76</v>
      </c>
      <c r="G20" s="8" t="s">
        <v>77</v>
      </c>
      <c r="H20" s="7">
        <v>46120</v>
      </c>
    </row>
    <row r="21" spans="1:8" x14ac:dyDescent="0.25">
      <c r="A21" s="8">
        <v>20</v>
      </c>
      <c r="B21" s="8">
        <v>5</v>
      </c>
      <c r="C21" s="8" t="s">
        <v>5</v>
      </c>
      <c r="D21" s="8">
        <v>4</v>
      </c>
      <c r="E21" s="8" t="str">
        <f t="shared" si="0"/>
        <v>Bb</v>
      </c>
      <c r="F21" s="8" t="s">
        <v>76</v>
      </c>
      <c r="G21" s="8" t="s">
        <v>77</v>
      </c>
      <c r="H21" s="7">
        <v>46120</v>
      </c>
    </row>
    <row r="22" spans="1:8" x14ac:dyDescent="0.25">
      <c r="A22" s="8">
        <v>21</v>
      </c>
      <c r="B22" s="8">
        <v>6</v>
      </c>
      <c r="C22" s="8" t="s">
        <v>5</v>
      </c>
      <c r="D22" s="8">
        <v>1</v>
      </c>
      <c r="E22" s="8" t="str">
        <f t="shared" si="0"/>
        <v>Bb</v>
      </c>
      <c r="F22" s="8" t="s">
        <v>76</v>
      </c>
      <c r="G22" s="8" t="s">
        <v>77</v>
      </c>
      <c r="H22" s="7">
        <v>46120</v>
      </c>
    </row>
    <row r="23" spans="1:8" x14ac:dyDescent="0.25">
      <c r="A23" s="8">
        <v>22</v>
      </c>
      <c r="B23" s="8">
        <v>6</v>
      </c>
      <c r="C23" s="8" t="s">
        <v>7</v>
      </c>
      <c r="D23" s="8">
        <v>2</v>
      </c>
      <c r="E23" s="8" t="str">
        <f t="shared" si="0"/>
        <v>Le</v>
      </c>
      <c r="F23" s="8" t="s">
        <v>76</v>
      </c>
      <c r="G23" s="8" t="s">
        <v>77</v>
      </c>
      <c r="H23" s="7">
        <v>46120</v>
      </c>
    </row>
    <row r="24" spans="1:8" x14ac:dyDescent="0.25">
      <c r="A24" s="8">
        <v>23</v>
      </c>
      <c r="B24" s="8">
        <v>6</v>
      </c>
      <c r="C24" s="8" t="s">
        <v>8</v>
      </c>
      <c r="D24" s="8">
        <v>3</v>
      </c>
      <c r="E24" s="8" t="str">
        <f t="shared" si="0"/>
        <v>Mp</v>
      </c>
      <c r="F24" s="8" t="s">
        <v>76</v>
      </c>
      <c r="G24" s="8" t="s">
        <v>77</v>
      </c>
      <c r="H24" s="7">
        <v>46120</v>
      </c>
    </row>
    <row r="25" spans="1:8" x14ac:dyDescent="0.25">
      <c r="A25" s="8">
        <v>24</v>
      </c>
      <c r="B25" s="8">
        <v>6</v>
      </c>
      <c r="C25" s="8" t="s">
        <v>6</v>
      </c>
      <c r="D25" s="8">
        <v>4</v>
      </c>
      <c r="E25" s="8" t="str">
        <f t="shared" si="0"/>
        <v>Ctr</v>
      </c>
      <c r="F25" s="8" t="s">
        <v>76</v>
      </c>
      <c r="G25" s="8" t="s">
        <v>77</v>
      </c>
      <c r="H25" s="7">
        <v>46120</v>
      </c>
    </row>
    <row r="26" spans="1:8" x14ac:dyDescent="0.25">
      <c r="A26" s="8">
        <v>25</v>
      </c>
      <c r="B26" s="8">
        <v>7</v>
      </c>
      <c r="C26" s="8" t="s">
        <v>7</v>
      </c>
      <c r="D26" s="8">
        <v>1</v>
      </c>
      <c r="E26" s="8" t="str">
        <f t="shared" si="0"/>
        <v>Le</v>
      </c>
      <c r="F26" s="8" t="s">
        <v>76</v>
      </c>
      <c r="G26" s="8" t="s">
        <v>77</v>
      </c>
      <c r="H26" s="7">
        <v>46120</v>
      </c>
    </row>
    <row r="27" spans="1:8" x14ac:dyDescent="0.25">
      <c r="A27" s="8">
        <v>26</v>
      </c>
      <c r="B27" s="8">
        <v>7</v>
      </c>
      <c r="C27" s="8" t="s">
        <v>6</v>
      </c>
      <c r="D27" s="8">
        <v>2</v>
      </c>
      <c r="E27" s="8" t="str">
        <f t="shared" si="0"/>
        <v>Ctr</v>
      </c>
      <c r="F27" s="8" t="s">
        <v>76</v>
      </c>
      <c r="G27" s="8" t="s">
        <v>77</v>
      </c>
      <c r="H27" s="7">
        <v>46120</v>
      </c>
    </row>
    <row r="28" spans="1:8" x14ac:dyDescent="0.25">
      <c r="A28" s="8">
        <v>27</v>
      </c>
      <c r="B28" s="8">
        <v>7</v>
      </c>
      <c r="C28" s="8" t="s">
        <v>8</v>
      </c>
      <c r="D28" s="8">
        <v>3</v>
      </c>
      <c r="E28" s="8" t="str">
        <f t="shared" si="0"/>
        <v>Mp</v>
      </c>
      <c r="F28" s="8" t="s">
        <v>76</v>
      </c>
      <c r="G28" s="8" t="s">
        <v>77</v>
      </c>
      <c r="H28" s="7">
        <v>46120</v>
      </c>
    </row>
    <row r="29" spans="1:8" x14ac:dyDescent="0.25">
      <c r="A29" s="8">
        <v>28</v>
      </c>
      <c r="B29" s="8">
        <v>7</v>
      </c>
      <c r="C29" s="8" t="s">
        <v>5</v>
      </c>
      <c r="D29" s="8">
        <v>4</v>
      </c>
      <c r="E29" s="8" t="str">
        <f t="shared" si="0"/>
        <v>Bb</v>
      </c>
      <c r="F29" s="8" t="s">
        <v>76</v>
      </c>
      <c r="G29" s="8" t="s">
        <v>77</v>
      </c>
      <c r="H29" s="7">
        <v>46120</v>
      </c>
    </row>
    <row r="30" spans="1:8" x14ac:dyDescent="0.25">
      <c r="A30" s="8">
        <v>29</v>
      </c>
      <c r="B30" s="8">
        <v>8</v>
      </c>
      <c r="C30" s="8" t="s">
        <v>5</v>
      </c>
      <c r="D30" s="8">
        <v>1</v>
      </c>
      <c r="E30" s="8" t="str">
        <f t="shared" si="0"/>
        <v>Bb</v>
      </c>
      <c r="F30" s="8" t="s">
        <v>76</v>
      </c>
      <c r="G30" s="8" t="s">
        <v>77</v>
      </c>
      <c r="H30" s="7">
        <v>46120</v>
      </c>
    </row>
    <row r="31" spans="1:8" x14ac:dyDescent="0.25">
      <c r="A31" s="8">
        <v>30</v>
      </c>
      <c r="B31" s="8">
        <v>8</v>
      </c>
      <c r="C31" s="8" t="s">
        <v>8</v>
      </c>
      <c r="D31" s="8">
        <v>2</v>
      </c>
      <c r="E31" s="8" t="str">
        <f t="shared" si="0"/>
        <v>Mp</v>
      </c>
      <c r="F31" s="8" t="s">
        <v>76</v>
      </c>
      <c r="G31" s="8" t="s">
        <v>77</v>
      </c>
      <c r="H31" s="7">
        <v>46120</v>
      </c>
    </row>
    <row r="32" spans="1:8" x14ac:dyDescent="0.25">
      <c r="A32" s="8">
        <v>31</v>
      </c>
      <c r="B32" s="8">
        <v>8</v>
      </c>
      <c r="C32" s="8" t="s">
        <v>6</v>
      </c>
      <c r="D32" s="8">
        <v>3</v>
      </c>
      <c r="E32" s="8" t="str">
        <f t="shared" si="0"/>
        <v>Ctr</v>
      </c>
      <c r="F32" s="8" t="s">
        <v>76</v>
      </c>
      <c r="G32" s="8" t="s">
        <v>77</v>
      </c>
      <c r="H32" s="7">
        <v>46120</v>
      </c>
    </row>
    <row r="33" spans="1:8" x14ac:dyDescent="0.25">
      <c r="A33" s="8">
        <v>32</v>
      </c>
      <c r="B33" s="8">
        <v>8</v>
      </c>
      <c r="C33" s="8" t="s">
        <v>7</v>
      </c>
      <c r="D33" s="8">
        <v>4</v>
      </c>
      <c r="E33" s="8" t="str">
        <f t="shared" si="0"/>
        <v>Le</v>
      </c>
      <c r="F33" s="8" t="s">
        <v>76</v>
      </c>
      <c r="G33" s="8" t="s">
        <v>77</v>
      </c>
      <c r="H33" s="7">
        <v>46120</v>
      </c>
    </row>
    <row r="34" spans="1:8" x14ac:dyDescent="0.25">
      <c r="A34" s="8">
        <v>33</v>
      </c>
      <c r="B34" s="8">
        <v>9</v>
      </c>
      <c r="C34" s="8" t="s">
        <v>8</v>
      </c>
      <c r="D34" s="8">
        <v>1</v>
      </c>
      <c r="E34" s="8" t="str">
        <f t="shared" si="0"/>
        <v>Mp</v>
      </c>
      <c r="F34" s="8" t="s">
        <v>76</v>
      </c>
      <c r="G34" s="8" t="s">
        <v>77</v>
      </c>
      <c r="H34" s="7">
        <v>46120</v>
      </c>
    </row>
    <row r="35" spans="1:8" x14ac:dyDescent="0.25">
      <c r="A35" s="8">
        <v>34</v>
      </c>
      <c r="B35" s="8">
        <v>9</v>
      </c>
      <c r="C35" s="8" t="s">
        <v>6</v>
      </c>
      <c r="D35" s="8">
        <v>2</v>
      </c>
      <c r="E35" s="8" t="str">
        <f t="shared" si="0"/>
        <v>Ctr</v>
      </c>
      <c r="F35" s="8" t="s">
        <v>76</v>
      </c>
      <c r="G35" s="8" t="s">
        <v>77</v>
      </c>
      <c r="H35" s="7">
        <v>46120</v>
      </c>
    </row>
    <row r="36" spans="1:8" x14ac:dyDescent="0.25">
      <c r="A36" s="8">
        <v>35</v>
      </c>
      <c r="B36" s="8">
        <v>9</v>
      </c>
      <c r="C36" s="8" t="s">
        <v>7</v>
      </c>
      <c r="D36" s="8">
        <v>3</v>
      </c>
      <c r="E36" s="8" t="str">
        <f t="shared" si="0"/>
        <v>Le</v>
      </c>
      <c r="F36" s="8" t="s">
        <v>76</v>
      </c>
      <c r="G36" s="8" t="s">
        <v>77</v>
      </c>
      <c r="H36" s="7">
        <v>46120</v>
      </c>
    </row>
    <row r="37" spans="1:8" x14ac:dyDescent="0.25">
      <c r="A37" s="8">
        <v>36</v>
      </c>
      <c r="B37" s="8">
        <v>9</v>
      </c>
      <c r="C37" s="8" t="s">
        <v>5</v>
      </c>
      <c r="D37" s="8">
        <v>4</v>
      </c>
      <c r="E37" s="8" t="str">
        <f t="shared" si="0"/>
        <v>Bb</v>
      </c>
      <c r="F37" s="8" t="s">
        <v>76</v>
      </c>
      <c r="G37" s="8" t="s">
        <v>77</v>
      </c>
      <c r="H37" s="7">
        <v>46120</v>
      </c>
    </row>
    <row r="38" spans="1:8" x14ac:dyDescent="0.25">
      <c r="A38" s="8">
        <v>37</v>
      </c>
      <c r="B38" s="8">
        <v>10</v>
      </c>
      <c r="C38" s="8" t="s">
        <v>7</v>
      </c>
      <c r="D38" s="8">
        <v>1</v>
      </c>
      <c r="E38" s="8" t="str">
        <f t="shared" si="0"/>
        <v>Le</v>
      </c>
      <c r="F38" s="8" t="s">
        <v>76</v>
      </c>
      <c r="G38" s="8" t="s">
        <v>77</v>
      </c>
      <c r="H38" s="7">
        <v>46120</v>
      </c>
    </row>
    <row r="39" spans="1:8" x14ac:dyDescent="0.25">
      <c r="A39" s="8">
        <v>38</v>
      </c>
      <c r="B39" s="8">
        <v>10</v>
      </c>
      <c r="C39" s="8" t="s">
        <v>6</v>
      </c>
      <c r="D39" s="8">
        <v>2</v>
      </c>
      <c r="E39" s="8" t="str">
        <f t="shared" si="0"/>
        <v>Ctr</v>
      </c>
      <c r="F39" s="8" t="s">
        <v>76</v>
      </c>
      <c r="G39" s="8" t="s">
        <v>77</v>
      </c>
      <c r="H39" s="7">
        <v>46120</v>
      </c>
    </row>
    <row r="40" spans="1:8" x14ac:dyDescent="0.25">
      <c r="A40" s="8">
        <v>39</v>
      </c>
      <c r="B40" s="8">
        <v>10</v>
      </c>
      <c r="C40" s="8" t="s">
        <v>8</v>
      </c>
      <c r="D40" s="8">
        <v>3</v>
      </c>
      <c r="E40" s="8" t="str">
        <f t="shared" si="0"/>
        <v>Mp</v>
      </c>
      <c r="F40" s="8" t="s">
        <v>76</v>
      </c>
      <c r="G40" s="8" t="s">
        <v>77</v>
      </c>
      <c r="H40" s="7">
        <v>46120</v>
      </c>
    </row>
    <row r="41" spans="1:8" x14ac:dyDescent="0.25">
      <c r="A41" s="8">
        <v>40</v>
      </c>
      <c r="B41" s="8">
        <v>10</v>
      </c>
      <c r="C41" s="8" t="s">
        <v>5</v>
      </c>
      <c r="D41" s="8">
        <v>4</v>
      </c>
      <c r="E41" s="8" t="str">
        <f t="shared" si="0"/>
        <v>Bb</v>
      </c>
      <c r="F41" s="8" t="s">
        <v>76</v>
      </c>
      <c r="G41" s="8" t="s">
        <v>77</v>
      </c>
      <c r="H41" s="7">
        <v>46120</v>
      </c>
    </row>
    <row r="42" spans="1:8" x14ac:dyDescent="0.25">
      <c r="A42" s="8">
        <v>41</v>
      </c>
      <c r="B42" s="8">
        <v>11</v>
      </c>
      <c r="C42" s="8" t="s">
        <v>6</v>
      </c>
      <c r="D42" s="8">
        <v>1</v>
      </c>
      <c r="E42" s="8" t="str">
        <f t="shared" si="0"/>
        <v>Ctr</v>
      </c>
      <c r="F42" s="8" t="s">
        <v>76</v>
      </c>
      <c r="G42" s="8" t="s">
        <v>77</v>
      </c>
      <c r="H42" s="7">
        <v>46120</v>
      </c>
    </row>
    <row r="43" spans="1:8" x14ac:dyDescent="0.25">
      <c r="A43" s="8">
        <v>42</v>
      </c>
      <c r="B43" s="8">
        <v>11</v>
      </c>
      <c r="C43" s="8" t="s">
        <v>7</v>
      </c>
      <c r="D43" s="8">
        <v>2</v>
      </c>
      <c r="E43" s="8" t="str">
        <f t="shared" si="0"/>
        <v>Le</v>
      </c>
      <c r="F43" s="8" t="s">
        <v>76</v>
      </c>
      <c r="G43" s="8" t="s">
        <v>77</v>
      </c>
      <c r="H43" s="7">
        <v>46120</v>
      </c>
    </row>
    <row r="44" spans="1:8" x14ac:dyDescent="0.25">
      <c r="A44" s="8">
        <v>43</v>
      </c>
      <c r="B44" s="8">
        <v>11</v>
      </c>
      <c r="C44" s="8" t="s">
        <v>5</v>
      </c>
      <c r="D44" s="8">
        <v>3</v>
      </c>
      <c r="E44" s="8" t="str">
        <f t="shared" si="0"/>
        <v>Bb</v>
      </c>
      <c r="F44" s="8" t="s">
        <v>76</v>
      </c>
      <c r="G44" s="8" t="s">
        <v>77</v>
      </c>
      <c r="H44" s="7">
        <v>46120</v>
      </c>
    </row>
    <row r="45" spans="1:8" x14ac:dyDescent="0.25">
      <c r="A45" s="8">
        <v>44</v>
      </c>
      <c r="B45" s="8">
        <v>11</v>
      </c>
      <c r="C45" s="8" t="s">
        <v>8</v>
      </c>
      <c r="D45" s="8">
        <v>4</v>
      </c>
      <c r="E45" s="8" t="str">
        <f t="shared" si="0"/>
        <v>Mp</v>
      </c>
      <c r="F45" s="8" t="s">
        <v>76</v>
      </c>
      <c r="G45" s="8" t="s">
        <v>77</v>
      </c>
      <c r="H45" s="7">
        <v>46120</v>
      </c>
    </row>
    <row r="46" spans="1:8" x14ac:dyDescent="0.25">
      <c r="A46" s="8">
        <v>45</v>
      </c>
      <c r="B46" s="8">
        <v>12</v>
      </c>
      <c r="C46" s="8" t="s">
        <v>7</v>
      </c>
      <c r="D46" s="8">
        <v>1</v>
      </c>
      <c r="E46" s="8" t="str">
        <f t="shared" si="0"/>
        <v>Le</v>
      </c>
      <c r="F46" s="8" t="s">
        <v>76</v>
      </c>
      <c r="G46" s="8" t="s">
        <v>77</v>
      </c>
      <c r="H46" s="7">
        <v>46120</v>
      </c>
    </row>
    <row r="47" spans="1:8" x14ac:dyDescent="0.25">
      <c r="A47" s="8">
        <v>46</v>
      </c>
      <c r="B47" s="8">
        <v>12</v>
      </c>
      <c r="C47" s="8" t="s">
        <v>6</v>
      </c>
      <c r="D47" s="8">
        <v>2</v>
      </c>
      <c r="E47" s="8" t="str">
        <f t="shared" si="0"/>
        <v>Ctr</v>
      </c>
      <c r="F47" s="8" t="s">
        <v>76</v>
      </c>
      <c r="G47" s="8" t="s">
        <v>77</v>
      </c>
      <c r="H47" s="7">
        <v>46120</v>
      </c>
    </row>
    <row r="48" spans="1:8" x14ac:dyDescent="0.25">
      <c r="A48" s="8">
        <v>47</v>
      </c>
      <c r="B48" s="8">
        <v>12</v>
      </c>
      <c r="C48" s="8" t="s">
        <v>5</v>
      </c>
      <c r="D48" s="8">
        <v>3</v>
      </c>
      <c r="E48" s="8" t="str">
        <f t="shared" si="0"/>
        <v>Bb</v>
      </c>
      <c r="F48" s="8" t="s">
        <v>76</v>
      </c>
      <c r="G48" s="8" t="s">
        <v>77</v>
      </c>
      <c r="H48" s="7">
        <v>46120</v>
      </c>
    </row>
    <row r="49" spans="1:8" x14ac:dyDescent="0.25">
      <c r="A49" s="8">
        <v>48</v>
      </c>
      <c r="B49" s="8">
        <v>12</v>
      </c>
      <c r="C49" s="8" t="s">
        <v>8</v>
      </c>
      <c r="D49" s="8">
        <v>4</v>
      </c>
      <c r="E49" s="8" t="str">
        <f t="shared" si="0"/>
        <v>Mp</v>
      </c>
      <c r="F49" s="8" t="s">
        <v>76</v>
      </c>
      <c r="G49" s="8" t="s">
        <v>77</v>
      </c>
      <c r="H49" s="7">
        <v>46120</v>
      </c>
    </row>
    <row r="50" spans="1:8" x14ac:dyDescent="0.25">
      <c r="A50" s="8">
        <v>49</v>
      </c>
      <c r="B50" s="8">
        <v>13</v>
      </c>
      <c r="C50" s="8" t="s">
        <v>6</v>
      </c>
      <c r="D50" s="8">
        <v>1</v>
      </c>
      <c r="E50" s="8" t="str">
        <f t="shared" si="0"/>
        <v>Ctr</v>
      </c>
      <c r="F50" s="8" t="s">
        <v>76</v>
      </c>
      <c r="G50" s="8" t="s">
        <v>77</v>
      </c>
      <c r="H50" s="7">
        <v>46120</v>
      </c>
    </row>
    <row r="51" spans="1:8" x14ac:dyDescent="0.25">
      <c r="A51" s="8">
        <v>50</v>
      </c>
      <c r="B51" s="8">
        <v>13</v>
      </c>
      <c r="C51" s="8" t="s">
        <v>8</v>
      </c>
      <c r="D51" s="8">
        <v>2</v>
      </c>
      <c r="E51" s="8" t="str">
        <f t="shared" si="0"/>
        <v>Mp</v>
      </c>
      <c r="F51" s="8" t="s">
        <v>76</v>
      </c>
      <c r="G51" s="8" t="s">
        <v>77</v>
      </c>
      <c r="H51" s="7">
        <v>46120</v>
      </c>
    </row>
    <row r="52" spans="1:8" x14ac:dyDescent="0.25">
      <c r="A52" s="8">
        <v>51</v>
      </c>
      <c r="B52" s="8">
        <v>13</v>
      </c>
      <c r="C52" s="8" t="s">
        <v>7</v>
      </c>
      <c r="D52" s="8">
        <v>3</v>
      </c>
      <c r="E52" s="8" t="str">
        <f t="shared" si="0"/>
        <v>Le</v>
      </c>
      <c r="F52" s="8" t="s">
        <v>76</v>
      </c>
      <c r="G52" s="8" t="s">
        <v>77</v>
      </c>
      <c r="H52" s="7">
        <v>46120</v>
      </c>
    </row>
    <row r="53" spans="1:8" x14ac:dyDescent="0.25">
      <c r="A53" s="8">
        <v>52</v>
      </c>
      <c r="B53" s="8">
        <v>13</v>
      </c>
      <c r="C53" s="8" t="s">
        <v>5</v>
      </c>
      <c r="D53" s="8">
        <v>4</v>
      </c>
      <c r="E53" s="8" t="str">
        <f t="shared" si="0"/>
        <v>Bb</v>
      </c>
      <c r="F53" s="8" t="s">
        <v>76</v>
      </c>
      <c r="G53" s="8" t="s">
        <v>77</v>
      </c>
      <c r="H53" s="7">
        <v>46120</v>
      </c>
    </row>
    <row r="54" spans="1:8" x14ac:dyDescent="0.25">
      <c r="A54" s="8">
        <v>53</v>
      </c>
      <c r="B54" s="8">
        <v>14</v>
      </c>
      <c r="C54" s="8" t="s">
        <v>6</v>
      </c>
      <c r="D54" s="8">
        <v>1</v>
      </c>
      <c r="E54" s="8" t="str">
        <f t="shared" si="0"/>
        <v>Ctr</v>
      </c>
      <c r="F54" s="8" t="s">
        <v>76</v>
      </c>
      <c r="G54" s="8" t="s">
        <v>77</v>
      </c>
      <c r="H54" s="7">
        <v>46120</v>
      </c>
    </row>
    <row r="55" spans="1:8" x14ac:dyDescent="0.25">
      <c r="A55" s="8">
        <v>54</v>
      </c>
      <c r="B55" s="8">
        <v>14</v>
      </c>
      <c r="C55" s="8" t="s">
        <v>5</v>
      </c>
      <c r="D55" s="8">
        <v>2</v>
      </c>
      <c r="E55" s="8" t="str">
        <f t="shared" si="0"/>
        <v>Bb</v>
      </c>
      <c r="F55" s="8" t="s">
        <v>76</v>
      </c>
      <c r="G55" s="8" t="s">
        <v>77</v>
      </c>
      <c r="H55" s="7">
        <v>46120</v>
      </c>
    </row>
    <row r="56" spans="1:8" x14ac:dyDescent="0.25">
      <c r="A56" s="8">
        <v>55</v>
      </c>
      <c r="B56" s="8">
        <v>14</v>
      </c>
      <c r="C56" s="8" t="s">
        <v>8</v>
      </c>
      <c r="D56" s="8">
        <v>3</v>
      </c>
      <c r="E56" s="8" t="str">
        <f t="shared" si="0"/>
        <v>Mp</v>
      </c>
      <c r="F56" s="8" t="s">
        <v>76</v>
      </c>
      <c r="G56" s="8" t="s">
        <v>77</v>
      </c>
      <c r="H56" s="7">
        <v>46120</v>
      </c>
    </row>
    <row r="57" spans="1:8" x14ac:dyDescent="0.25">
      <c r="A57" s="8">
        <v>56</v>
      </c>
      <c r="B57" s="8">
        <v>14</v>
      </c>
      <c r="C57" s="8" t="s">
        <v>7</v>
      </c>
      <c r="D57" s="8">
        <v>4</v>
      </c>
      <c r="E57" s="8" t="str">
        <f t="shared" si="0"/>
        <v>Le</v>
      </c>
      <c r="F57" s="8" t="s">
        <v>76</v>
      </c>
      <c r="G57" s="8" t="s">
        <v>77</v>
      </c>
      <c r="H57" s="7">
        <v>46120</v>
      </c>
    </row>
    <row r="58" spans="1:8" x14ac:dyDescent="0.25">
      <c r="A58" s="8">
        <v>57</v>
      </c>
      <c r="B58" s="8" t="s">
        <v>70</v>
      </c>
      <c r="C58" s="8" t="s">
        <v>69</v>
      </c>
      <c r="D58" s="8" t="s">
        <v>70</v>
      </c>
      <c r="E58" s="8" t="s">
        <v>69</v>
      </c>
      <c r="F58" s="8" t="s">
        <v>76</v>
      </c>
      <c r="G58" s="8" t="s">
        <v>77</v>
      </c>
      <c r="H58" s="7">
        <v>46120</v>
      </c>
    </row>
    <row r="59" spans="1:8" x14ac:dyDescent="0.25">
      <c r="A59" s="8">
        <v>58</v>
      </c>
      <c r="B59" s="8" t="s">
        <v>70</v>
      </c>
      <c r="C59" s="8" t="s">
        <v>69</v>
      </c>
      <c r="D59" s="8" t="s">
        <v>70</v>
      </c>
      <c r="E59" s="8" t="s">
        <v>69</v>
      </c>
      <c r="F59" s="8" t="s">
        <v>76</v>
      </c>
      <c r="G59" s="8" t="s">
        <v>77</v>
      </c>
      <c r="H59" s="7">
        <v>46120</v>
      </c>
    </row>
    <row r="60" spans="1:8" x14ac:dyDescent="0.25">
      <c r="A60" s="8">
        <v>59</v>
      </c>
      <c r="B60" s="8" t="s">
        <v>70</v>
      </c>
      <c r="C60" s="8" t="s">
        <v>69</v>
      </c>
      <c r="D60" s="8" t="s">
        <v>70</v>
      </c>
      <c r="E60" s="8" t="s">
        <v>69</v>
      </c>
      <c r="F60" s="8" t="s">
        <v>76</v>
      </c>
      <c r="G60" s="8" t="s">
        <v>77</v>
      </c>
      <c r="H60" s="7">
        <v>46120</v>
      </c>
    </row>
    <row r="61" spans="1:8" x14ac:dyDescent="0.25">
      <c r="A61" s="8">
        <v>60</v>
      </c>
      <c r="B61" s="8" t="s">
        <v>70</v>
      </c>
      <c r="C61" s="8" t="s">
        <v>69</v>
      </c>
      <c r="D61" s="8" t="s">
        <v>70</v>
      </c>
      <c r="E61" s="8" t="s">
        <v>69</v>
      </c>
      <c r="F61" s="8" t="s">
        <v>76</v>
      </c>
      <c r="G61" s="8" t="s">
        <v>77</v>
      </c>
      <c r="H61" s="7">
        <v>46120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8480-7770-4144-94E9-BC2A9A00234D}">
  <sheetPr>
    <tabColor theme="0" tint="-0.14999847407452621"/>
  </sheetPr>
  <dimension ref="A1:H61"/>
  <sheetViews>
    <sheetView workbookViewId="0">
      <selection activeCell="D58" sqref="D58:D61"/>
    </sheetView>
  </sheetViews>
  <sheetFormatPr defaultRowHeight="15" x14ac:dyDescent="0.25"/>
  <cols>
    <col min="1" max="2" width="9.85546875" style="4" customWidth="1"/>
    <col min="3" max="3" width="13.7109375" style="4" customWidth="1"/>
    <col min="4" max="4" width="12.140625" style="4" customWidth="1"/>
    <col min="5" max="5" width="11.7109375" style="4" customWidth="1"/>
    <col min="6" max="6" width="14.42578125" style="4" customWidth="1"/>
    <col min="7" max="7" width="12.28515625" style="4" customWidth="1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4</v>
      </c>
      <c r="E1" s="9" t="s">
        <v>75</v>
      </c>
      <c r="F1" s="9" t="s">
        <v>74</v>
      </c>
      <c r="G1" s="9" t="s">
        <v>73</v>
      </c>
      <c r="H1" s="9" t="s">
        <v>72</v>
      </c>
    </row>
    <row r="2" spans="1:8" x14ac:dyDescent="0.25">
      <c r="A2" s="8">
        <v>1</v>
      </c>
      <c r="B2" s="8">
        <v>1</v>
      </c>
      <c r="C2" s="8" t="s">
        <v>5</v>
      </c>
      <c r="D2" s="8">
        <v>1</v>
      </c>
      <c r="E2" s="8" t="str">
        <f>IF(C2="Brevicoryne","Bb",
IF(C2="Control","Ctr",
IF(C2="Myzus","Mp",
IF(C2="Lipaphis","Le",""))))</f>
        <v>Bb</v>
      </c>
      <c r="F2" s="8" t="s">
        <v>78</v>
      </c>
      <c r="G2" s="8" t="s">
        <v>79</v>
      </c>
      <c r="H2" s="7">
        <v>46120</v>
      </c>
    </row>
    <row r="3" spans="1:8" x14ac:dyDescent="0.25">
      <c r="A3" s="8">
        <v>2</v>
      </c>
      <c r="B3" s="8">
        <v>1</v>
      </c>
      <c r="C3" s="8" t="s">
        <v>6</v>
      </c>
      <c r="D3" s="8">
        <v>2</v>
      </c>
      <c r="E3" s="8" t="str">
        <f t="shared" ref="E3:E57" si="0">IF(C3="Brevicoryne","Bb",
IF(C3="Control","Ctr",
IF(C3="Myzus","Mp",
IF(C3="Lipaphis","Le",""))))</f>
        <v>Ctr</v>
      </c>
      <c r="F3" s="8" t="s">
        <v>78</v>
      </c>
      <c r="G3" s="8" t="s">
        <v>79</v>
      </c>
      <c r="H3" s="7">
        <v>46120</v>
      </c>
    </row>
    <row r="4" spans="1:8" x14ac:dyDescent="0.25">
      <c r="A4" s="8">
        <v>3</v>
      </c>
      <c r="B4" s="8">
        <v>1</v>
      </c>
      <c r="C4" s="8" t="s">
        <v>7</v>
      </c>
      <c r="D4" s="8">
        <v>3</v>
      </c>
      <c r="E4" s="8" t="str">
        <f t="shared" si="0"/>
        <v>Le</v>
      </c>
      <c r="F4" s="8" t="s">
        <v>78</v>
      </c>
      <c r="G4" s="8" t="s">
        <v>79</v>
      </c>
      <c r="H4" s="7">
        <v>46120</v>
      </c>
    </row>
    <row r="5" spans="1:8" x14ac:dyDescent="0.25">
      <c r="A5" s="8">
        <v>4</v>
      </c>
      <c r="B5" s="8">
        <v>1</v>
      </c>
      <c r="C5" s="8" t="s">
        <v>8</v>
      </c>
      <c r="D5" s="8">
        <v>4</v>
      </c>
      <c r="E5" s="8" t="str">
        <f t="shared" si="0"/>
        <v>Mp</v>
      </c>
      <c r="F5" s="8" t="s">
        <v>78</v>
      </c>
      <c r="G5" s="8" t="s">
        <v>79</v>
      </c>
      <c r="H5" s="7">
        <v>46120</v>
      </c>
    </row>
    <row r="6" spans="1:8" x14ac:dyDescent="0.25">
      <c r="A6" s="8">
        <v>5</v>
      </c>
      <c r="B6" s="8">
        <v>2</v>
      </c>
      <c r="C6" s="8" t="s">
        <v>6</v>
      </c>
      <c r="D6" s="8">
        <v>1</v>
      </c>
      <c r="E6" s="8" t="str">
        <f t="shared" si="0"/>
        <v>Ctr</v>
      </c>
      <c r="F6" s="8" t="s">
        <v>78</v>
      </c>
      <c r="G6" s="8" t="s">
        <v>79</v>
      </c>
      <c r="H6" s="7">
        <v>46120</v>
      </c>
    </row>
    <row r="7" spans="1:8" x14ac:dyDescent="0.25">
      <c r="A7" s="8">
        <v>6</v>
      </c>
      <c r="B7" s="8">
        <v>2</v>
      </c>
      <c r="C7" s="8" t="s">
        <v>8</v>
      </c>
      <c r="D7" s="8">
        <v>2</v>
      </c>
      <c r="E7" s="8" t="str">
        <f t="shared" si="0"/>
        <v>Mp</v>
      </c>
      <c r="F7" s="8" t="s">
        <v>78</v>
      </c>
      <c r="G7" s="8" t="s">
        <v>79</v>
      </c>
      <c r="H7" s="7">
        <v>46120</v>
      </c>
    </row>
    <row r="8" spans="1:8" x14ac:dyDescent="0.25">
      <c r="A8" s="8">
        <v>7</v>
      </c>
      <c r="B8" s="8">
        <v>2</v>
      </c>
      <c r="C8" s="8" t="s">
        <v>7</v>
      </c>
      <c r="D8" s="8">
        <v>3</v>
      </c>
      <c r="E8" s="8" t="str">
        <f t="shared" si="0"/>
        <v>Le</v>
      </c>
      <c r="F8" s="8" t="s">
        <v>78</v>
      </c>
      <c r="G8" s="8" t="s">
        <v>79</v>
      </c>
      <c r="H8" s="7">
        <v>46120</v>
      </c>
    </row>
    <row r="9" spans="1:8" x14ac:dyDescent="0.25">
      <c r="A9" s="8">
        <v>8</v>
      </c>
      <c r="B9" s="8">
        <v>2</v>
      </c>
      <c r="C9" s="8" t="s">
        <v>5</v>
      </c>
      <c r="D9" s="8">
        <v>4</v>
      </c>
      <c r="E9" s="8" t="str">
        <f t="shared" si="0"/>
        <v>Bb</v>
      </c>
      <c r="F9" s="8" t="s">
        <v>78</v>
      </c>
      <c r="G9" s="8" t="s">
        <v>79</v>
      </c>
      <c r="H9" s="7">
        <v>46120</v>
      </c>
    </row>
    <row r="10" spans="1:8" x14ac:dyDescent="0.25">
      <c r="A10" s="8">
        <v>9</v>
      </c>
      <c r="B10" s="8">
        <v>3</v>
      </c>
      <c r="C10" s="8" t="s">
        <v>7</v>
      </c>
      <c r="D10" s="8">
        <v>1</v>
      </c>
      <c r="E10" s="8" t="str">
        <f t="shared" si="0"/>
        <v>Le</v>
      </c>
      <c r="F10" s="8" t="s">
        <v>78</v>
      </c>
      <c r="G10" s="8" t="s">
        <v>79</v>
      </c>
      <c r="H10" s="7">
        <v>46120</v>
      </c>
    </row>
    <row r="11" spans="1:8" x14ac:dyDescent="0.25">
      <c r="A11" s="8">
        <v>10</v>
      </c>
      <c r="B11" s="8">
        <v>3</v>
      </c>
      <c r="C11" s="8" t="s">
        <v>8</v>
      </c>
      <c r="D11" s="8">
        <v>2</v>
      </c>
      <c r="E11" s="8" t="str">
        <f t="shared" si="0"/>
        <v>Mp</v>
      </c>
      <c r="F11" s="8" t="s">
        <v>78</v>
      </c>
      <c r="G11" s="8" t="s">
        <v>79</v>
      </c>
      <c r="H11" s="7">
        <v>46120</v>
      </c>
    </row>
    <row r="12" spans="1:8" x14ac:dyDescent="0.25">
      <c r="A12" s="8">
        <v>11</v>
      </c>
      <c r="B12" s="8">
        <v>3</v>
      </c>
      <c r="C12" s="8" t="s">
        <v>5</v>
      </c>
      <c r="D12" s="8">
        <v>3</v>
      </c>
      <c r="E12" s="8" t="str">
        <f t="shared" si="0"/>
        <v>Bb</v>
      </c>
      <c r="F12" s="8" t="s">
        <v>78</v>
      </c>
      <c r="G12" s="8" t="s">
        <v>79</v>
      </c>
      <c r="H12" s="7">
        <v>46120</v>
      </c>
    </row>
    <row r="13" spans="1:8" x14ac:dyDescent="0.25">
      <c r="A13" s="8">
        <v>12</v>
      </c>
      <c r="B13" s="8">
        <v>3</v>
      </c>
      <c r="C13" s="8" t="s">
        <v>6</v>
      </c>
      <c r="D13" s="8">
        <v>4</v>
      </c>
      <c r="E13" s="8" t="str">
        <f t="shared" si="0"/>
        <v>Ctr</v>
      </c>
      <c r="F13" s="8" t="s">
        <v>78</v>
      </c>
      <c r="G13" s="8" t="s">
        <v>79</v>
      </c>
      <c r="H13" s="7">
        <v>46120</v>
      </c>
    </row>
    <row r="14" spans="1:8" x14ac:dyDescent="0.25">
      <c r="A14" s="8">
        <v>13</v>
      </c>
      <c r="B14" s="8">
        <v>4</v>
      </c>
      <c r="C14" s="8" t="s">
        <v>8</v>
      </c>
      <c r="D14" s="8">
        <v>1</v>
      </c>
      <c r="E14" s="8" t="str">
        <f t="shared" si="0"/>
        <v>Mp</v>
      </c>
      <c r="F14" s="8" t="s">
        <v>78</v>
      </c>
      <c r="G14" s="8" t="s">
        <v>79</v>
      </c>
      <c r="H14" s="7">
        <v>46120</v>
      </c>
    </row>
    <row r="15" spans="1:8" x14ac:dyDescent="0.25">
      <c r="A15" s="8">
        <v>14</v>
      </c>
      <c r="B15" s="8">
        <v>4</v>
      </c>
      <c r="C15" s="8" t="s">
        <v>6</v>
      </c>
      <c r="D15" s="8">
        <v>2</v>
      </c>
      <c r="E15" s="8" t="str">
        <f t="shared" si="0"/>
        <v>Ctr</v>
      </c>
      <c r="F15" s="8" t="s">
        <v>78</v>
      </c>
      <c r="G15" s="8" t="s">
        <v>79</v>
      </c>
      <c r="H15" s="7">
        <v>46120</v>
      </c>
    </row>
    <row r="16" spans="1:8" x14ac:dyDescent="0.25">
      <c r="A16" s="8">
        <v>15</v>
      </c>
      <c r="B16" s="8">
        <v>4</v>
      </c>
      <c r="C16" s="8" t="s">
        <v>7</v>
      </c>
      <c r="D16" s="8">
        <v>3</v>
      </c>
      <c r="E16" s="8" t="str">
        <f t="shared" si="0"/>
        <v>Le</v>
      </c>
      <c r="F16" s="8" t="s">
        <v>78</v>
      </c>
      <c r="G16" s="8" t="s">
        <v>79</v>
      </c>
      <c r="H16" s="7">
        <v>46120</v>
      </c>
    </row>
    <row r="17" spans="1:8" x14ac:dyDescent="0.25">
      <c r="A17" s="8">
        <v>16</v>
      </c>
      <c r="B17" s="8">
        <v>4</v>
      </c>
      <c r="C17" s="8" t="s">
        <v>5</v>
      </c>
      <c r="D17" s="8">
        <v>4</v>
      </c>
      <c r="E17" s="8" t="str">
        <f t="shared" si="0"/>
        <v>Bb</v>
      </c>
      <c r="F17" s="8" t="s">
        <v>78</v>
      </c>
      <c r="G17" s="8" t="s">
        <v>79</v>
      </c>
      <c r="H17" s="7">
        <v>46120</v>
      </c>
    </row>
    <row r="18" spans="1:8" x14ac:dyDescent="0.25">
      <c r="A18" s="8">
        <v>17</v>
      </c>
      <c r="B18" s="8">
        <v>5</v>
      </c>
      <c r="C18" s="8" t="s">
        <v>6</v>
      </c>
      <c r="D18" s="8">
        <v>1</v>
      </c>
      <c r="E18" s="8" t="str">
        <f t="shared" si="0"/>
        <v>Ctr</v>
      </c>
      <c r="F18" s="8" t="s">
        <v>78</v>
      </c>
      <c r="G18" s="8" t="s">
        <v>79</v>
      </c>
      <c r="H18" s="7">
        <v>46120</v>
      </c>
    </row>
    <row r="19" spans="1:8" x14ac:dyDescent="0.25">
      <c r="A19" s="8">
        <v>18</v>
      </c>
      <c r="B19" s="8">
        <v>5</v>
      </c>
      <c r="C19" s="8" t="s">
        <v>7</v>
      </c>
      <c r="D19" s="8">
        <v>2</v>
      </c>
      <c r="E19" s="8" t="str">
        <f t="shared" si="0"/>
        <v>Le</v>
      </c>
      <c r="F19" s="8" t="s">
        <v>78</v>
      </c>
      <c r="G19" s="8" t="s">
        <v>79</v>
      </c>
      <c r="H19" s="7">
        <v>46120</v>
      </c>
    </row>
    <row r="20" spans="1:8" x14ac:dyDescent="0.25">
      <c r="A20" s="8">
        <v>19</v>
      </c>
      <c r="B20" s="8">
        <v>5</v>
      </c>
      <c r="C20" s="8" t="s">
        <v>8</v>
      </c>
      <c r="D20" s="8">
        <v>3</v>
      </c>
      <c r="E20" s="8" t="str">
        <f t="shared" si="0"/>
        <v>Mp</v>
      </c>
      <c r="F20" s="8" t="s">
        <v>78</v>
      </c>
      <c r="G20" s="8" t="s">
        <v>79</v>
      </c>
      <c r="H20" s="7">
        <v>46120</v>
      </c>
    </row>
    <row r="21" spans="1:8" x14ac:dyDescent="0.25">
      <c r="A21" s="8">
        <v>20</v>
      </c>
      <c r="B21" s="8">
        <v>5</v>
      </c>
      <c r="C21" s="8" t="s">
        <v>5</v>
      </c>
      <c r="D21" s="8">
        <v>4</v>
      </c>
      <c r="E21" s="8" t="str">
        <f t="shared" si="0"/>
        <v>Bb</v>
      </c>
      <c r="F21" s="8" t="s">
        <v>78</v>
      </c>
      <c r="G21" s="8" t="s">
        <v>79</v>
      </c>
      <c r="H21" s="7">
        <v>46120</v>
      </c>
    </row>
    <row r="22" spans="1:8" x14ac:dyDescent="0.25">
      <c r="A22" s="8">
        <v>21</v>
      </c>
      <c r="B22" s="8">
        <v>6</v>
      </c>
      <c r="C22" s="8" t="s">
        <v>5</v>
      </c>
      <c r="D22" s="8">
        <v>1</v>
      </c>
      <c r="E22" s="8" t="str">
        <f t="shared" si="0"/>
        <v>Bb</v>
      </c>
      <c r="F22" s="8" t="s">
        <v>78</v>
      </c>
      <c r="G22" s="8" t="s">
        <v>79</v>
      </c>
      <c r="H22" s="7">
        <v>46120</v>
      </c>
    </row>
    <row r="23" spans="1:8" x14ac:dyDescent="0.25">
      <c r="A23" s="8">
        <v>22</v>
      </c>
      <c r="B23" s="8">
        <v>6</v>
      </c>
      <c r="C23" s="8" t="s">
        <v>7</v>
      </c>
      <c r="D23" s="8">
        <v>2</v>
      </c>
      <c r="E23" s="8" t="str">
        <f t="shared" si="0"/>
        <v>Le</v>
      </c>
      <c r="F23" s="8" t="s">
        <v>78</v>
      </c>
      <c r="G23" s="8" t="s">
        <v>79</v>
      </c>
      <c r="H23" s="7">
        <v>46120</v>
      </c>
    </row>
    <row r="24" spans="1:8" x14ac:dyDescent="0.25">
      <c r="A24" s="8">
        <v>23</v>
      </c>
      <c r="B24" s="8">
        <v>6</v>
      </c>
      <c r="C24" s="8" t="s">
        <v>8</v>
      </c>
      <c r="D24" s="8">
        <v>3</v>
      </c>
      <c r="E24" s="8" t="str">
        <f t="shared" si="0"/>
        <v>Mp</v>
      </c>
      <c r="F24" s="8" t="s">
        <v>78</v>
      </c>
      <c r="G24" s="8" t="s">
        <v>79</v>
      </c>
      <c r="H24" s="7">
        <v>46120</v>
      </c>
    </row>
    <row r="25" spans="1:8" x14ac:dyDescent="0.25">
      <c r="A25" s="8">
        <v>24</v>
      </c>
      <c r="B25" s="8">
        <v>6</v>
      </c>
      <c r="C25" s="8" t="s">
        <v>6</v>
      </c>
      <c r="D25" s="8">
        <v>4</v>
      </c>
      <c r="E25" s="8" t="str">
        <f t="shared" si="0"/>
        <v>Ctr</v>
      </c>
      <c r="F25" s="8" t="s">
        <v>78</v>
      </c>
      <c r="G25" s="8" t="s">
        <v>79</v>
      </c>
      <c r="H25" s="7">
        <v>46120</v>
      </c>
    </row>
    <row r="26" spans="1:8" x14ac:dyDescent="0.25">
      <c r="A26" s="8">
        <v>25</v>
      </c>
      <c r="B26" s="8">
        <v>7</v>
      </c>
      <c r="C26" s="8" t="s">
        <v>7</v>
      </c>
      <c r="D26" s="8">
        <v>1</v>
      </c>
      <c r="E26" s="8" t="str">
        <f t="shared" si="0"/>
        <v>Le</v>
      </c>
      <c r="F26" s="8" t="s">
        <v>78</v>
      </c>
      <c r="G26" s="8" t="s">
        <v>79</v>
      </c>
      <c r="H26" s="7">
        <v>46120</v>
      </c>
    </row>
    <row r="27" spans="1:8" x14ac:dyDescent="0.25">
      <c r="A27" s="8">
        <v>26</v>
      </c>
      <c r="B27" s="8">
        <v>7</v>
      </c>
      <c r="C27" s="8" t="s">
        <v>6</v>
      </c>
      <c r="D27" s="8">
        <v>2</v>
      </c>
      <c r="E27" s="8" t="str">
        <f t="shared" si="0"/>
        <v>Ctr</v>
      </c>
      <c r="F27" s="8" t="s">
        <v>78</v>
      </c>
      <c r="G27" s="8" t="s">
        <v>79</v>
      </c>
      <c r="H27" s="7">
        <v>46120</v>
      </c>
    </row>
    <row r="28" spans="1:8" x14ac:dyDescent="0.25">
      <c r="A28" s="8">
        <v>27</v>
      </c>
      <c r="B28" s="8">
        <v>7</v>
      </c>
      <c r="C28" s="8" t="s">
        <v>8</v>
      </c>
      <c r="D28" s="8">
        <v>3</v>
      </c>
      <c r="E28" s="8" t="str">
        <f t="shared" si="0"/>
        <v>Mp</v>
      </c>
      <c r="F28" s="8" t="s">
        <v>78</v>
      </c>
      <c r="G28" s="8" t="s">
        <v>79</v>
      </c>
      <c r="H28" s="7">
        <v>46120</v>
      </c>
    </row>
    <row r="29" spans="1:8" x14ac:dyDescent="0.25">
      <c r="A29" s="8">
        <v>28</v>
      </c>
      <c r="B29" s="8">
        <v>7</v>
      </c>
      <c r="C29" s="8" t="s">
        <v>5</v>
      </c>
      <c r="D29" s="8">
        <v>4</v>
      </c>
      <c r="E29" s="8" t="str">
        <f t="shared" si="0"/>
        <v>Bb</v>
      </c>
      <c r="F29" s="8" t="s">
        <v>78</v>
      </c>
      <c r="G29" s="8" t="s">
        <v>79</v>
      </c>
      <c r="H29" s="7">
        <v>46120</v>
      </c>
    </row>
    <row r="30" spans="1:8" x14ac:dyDescent="0.25">
      <c r="A30" s="8">
        <v>29</v>
      </c>
      <c r="B30" s="8">
        <v>8</v>
      </c>
      <c r="C30" s="8" t="s">
        <v>5</v>
      </c>
      <c r="D30" s="8">
        <v>1</v>
      </c>
      <c r="E30" s="8" t="str">
        <f t="shared" si="0"/>
        <v>Bb</v>
      </c>
      <c r="F30" s="8" t="s">
        <v>78</v>
      </c>
      <c r="G30" s="8" t="s">
        <v>79</v>
      </c>
      <c r="H30" s="7">
        <v>46120</v>
      </c>
    </row>
    <row r="31" spans="1:8" x14ac:dyDescent="0.25">
      <c r="A31" s="8">
        <v>30</v>
      </c>
      <c r="B31" s="8">
        <v>8</v>
      </c>
      <c r="C31" s="8" t="s">
        <v>8</v>
      </c>
      <c r="D31" s="8">
        <v>2</v>
      </c>
      <c r="E31" s="8" t="str">
        <f t="shared" si="0"/>
        <v>Mp</v>
      </c>
      <c r="F31" s="8" t="s">
        <v>78</v>
      </c>
      <c r="G31" s="8" t="s">
        <v>79</v>
      </c>
      <c r="H31" s="7">
        <v>46120</v>
      </c>
    </row>
    <row r="32" spans="1:8" x14ac:dyDescent="0.25">
      <c r="A32" s="8">
        <v>31</v>
      </c>
      <c r="B32" s="8">
        <v>8</v>
      </c>
      <c r="C32" s="8" t="s">
        <v>6</v>
      </c>
      <c r="D32" s="8">
        <v>3</v>
      </c>
      <c r="E32" s="8" t="str">
        <f t="shared" si="0"/>
        <v>Ctr</v>
      </c>
      <c r="F32" s="8" t="s">
        <v>78</v>
      </c>
      <c r="G32" s="8" t="s">
        <v>79</v>
      </c>
      <c r="H32" s="7">
        <v>46120</v>
      </c>
    </row>
    <row r="33" spans="1:8" x14ac:dyDescent="0.25">
      <c r="A33" s="8">
        <v>32</v>
      </c>
      <c r="B33" s="8">
        <v>8</v>
      </c>
      <c r="C33" s="8" t="s">
        <v>7</v>
      </c>
      <c r="D33" s="8">
        <v>4</v>
      </c>
      <c r="E33" s="8" t="str">
        <f t="shared" si="0"/>
        <v>Le</v>
      </c>
      <c r="F33" s="8" t="s">
        <v>78</v>
      </c>
      <c r="G33" s="8" t="s">
        <v>79</v>
      </c>
      <c r="H33" s="7">
        <v>46120</v>
      </c>
    </row>
    <row r="34" spans="1:8" x14ac:dyDescent="0.25">
      <c r="A34" s="8">
        <v>33</v>
      </c>
      <c r="B34" s="8">
        <v>9</v>
      </c>
      <c r="C34" s="8" t="s">
        <v>8</v>
      </c>
      <c r="D34" s="8">
        <v>1</v>
      </c>
      <c r="E34" s="8" t="str">
        <f t="shared" si="0"/>
        <v>Mp</v>
      </c>
      <c r="F34" s="8" t="s">
        <v>78</v>
      </c>
      <c r="G34" s="8" t="s">
        <v>79</v>
      </c>
      <c r="H34" s="7">
        <v>46120</v>
      </c>
    </row>
    <row r="35" spans="1:8" x14ac:dyDescent="0.25">
      <c r="A35" s="8">
        <v>34</v>
      </c>
      <c r="B35" s="8">
        <v>9</v>
      </c>
      <c r="C35" s="8" t="s">
        <v>6</v>
      </c>
      <c r="D35" s="8">
        <v>2</v>
      </c>
      <c r="E35" s="8" t="str">
        <f t="shared" si="0"/>
        <v>Ctr</v>
      </c>
      <c r="F35" s="8" t="s">
        <v>78</v>
      </c>
      <c r="G35" s="8" t="s">
        <v>79</v>
      </c>
      <c r="H35" s="7">
        <v>46120</v>
      </c>
    </row>
    <row r="36" spans="1:8" x14ac:dyDescent="0.25">
      <c r="A36" s="8">
        <v>35</v>
      </c>
      <c r="B36" s="8">
        <v>9</v>
      </c>
      <c r="C36" s="8" t="s">
        <v>7</v>
      </c>
      <c r="D36" s="8">
        <v>3</v>
      </c>
      <c r="E36" s="8" t="str">
        <f t="shared" si="0"/>
        <v>Le</v>
      </c>
      <c r="F36" s="8" t="s">
        <v>78</v>
      </c>
      <c r="G36" s="8" t="s">
        <v>79</v>
      </c>
      <c r="H36" s="7">
        <v>46120</v>
      </c>
    </row>
    <row r="37" spans="1:8" x14ac:dyDescent="0.25">
      <c r="A37" s="8">
        <v>36</v>
      </c>
      <c r="B37" s="8">
        <v>9</v>
      </c>
      <c r="C37" s="8" t="s">
        <v>5</v>
      </c>
      <c r="D37" s="8">
        <v>4</v>
      </c>
      <c r="E37" s="8" t="str">
        <f t="shared" si="0"/>
        <v>Bb</v>
      </c>
      <c r="F37" s="8" t="s">
        <v>78</v>
      </c>
      <c r="G37" s="8" t="s">
        <v>79</v>
      </c>
      <c r="H37" s="7">
        <v>46120</v>
      </c>
    </row>
    <row r="38" spans="1:8" x14ac:dyDescent="0.25">
      <c r="A38" s="8">
        <v>37</v>
      </c>
      <c r="B38" s="8">
        <v>10</v>
      </c>
      <c r="C38" s="8" t="s">
        <v>7</v>
      </c>
      <c r="D38" s="8">
        <v>1</v>
      </c>
      <c r="E38" s="8" t="str">
        <f t="shared" si="0"/>
        <v>Le</v>
      </c>
      <c r="F38" s="8" t="s">
        <v>78</v>
      </c>
      <c r="G38" s="8" t="s">
        <v>79</v>
      </c>
      <c r="H38" s="7">
        <v>46120</v>
      </c>
    </row>
    <row r="39" spans="1:8" x14ac:dyDescent="0.25">
      <c r="A39" s="8">
        <v>38</v>
      </c>
      <c r="B39" s="8">
        <v>10</v>
      </c>
      <c r="C39" s="8" t="s">
        <v>6</v>
      </c>
      <c r="D39" s="8">
        <v>2</v>
      </c>
      <c r="E39" s="8" t="str">
        <f t="shared" si="0"/>
        <v>Ctr</v>
      </c>
      <c r="F39" s="8" t="s">
        <v>78</v>
      </c>
      <c r="G39" s="8" t="s">
        <v>79</v>
      </c>
      <c r="H39" s="7">
        <v>46120</v>
      </c>
    </row>
    <row r="40" spans="1:8" x14ac:dyDescent="0.25">
      <c r="A40" s="8">
        <v>39</v>
      </c>
      <c r="B40" s="8">
        <v>10</v>
      </c>
      <c r="C40" s="8" t="s">
        <v>8</v>
      </c>
      <c r="D40" s="8">
        <v>3</v>
      </c>
      <c r="E40" s="8" t="str">
        <f t="shared" si="0"/>
        <v>Mp</v>
      </c>
      <c r="F40" s="8" t="s">
        <v>78</v>
      </c>
      <c r="G40" s="8" t="s">
        <v>79</v>
      </c>
      <c r="H40" s="7">
        <v>46120</v>
      </c>
    </row>
    <row r="41" spans="1:8" x14ac:dyDescent="0.25">
      <c r="A41" s="8">
        <v>40</v>
      </c>
      <c r="B41" s="8">
        <v>10</v>
      </c>
      <c r="C41" s="8" t="s">
        <v>5</v>
      </c>
      <c r="D41" s="8">
        <v>4</v>
      </c>
      <c r="E41" s="8" t="str">
        <f t="shared" si="0"/>
        <v>Bb</v>
      </c>
      <c r="F41" s="8" t="s">
        <v>78</v>
      </c>
      <c r="G41" s="8" t="s">
        <v>79</v>
      </c>
      <c r="H41" s="7">
        <v>46120</v>
      </c>
    </row>
    <row r="42" spans="1:8" x14ac:dyDescent="0.25">
      <c r="A42" s="8">
        <v>41</v>
      </c>
      <c r="B42" s="8">
        <v>11</v>
      </c>
      <c r="C42" s="8" t="s">
        <v>6</v>
      </c>
      <c r="D42" s="8">
        <v>1</v>
      </c>
      <c r="E42" s="8" t="str">
        <f t="shared" si="0"/>
        <v>Ctr</v>
      </c>
      <c r="F42" s="8" t="s">
        <v>78</v>
      </c>
      <c r="G42" s="8" t="s">
        <v>79</v>
      </c>
      <c r="H42" s="7">
        <v>46120</v>
      </c>
    </row>
    <row r="43" spans="1:8" x14ac:dyDescent="0.25">
      <c r="A43" s="8">
        <v>42</v>
      </c>
      <c r="B43" s="8">
        <v>11</v>
      </c>
      <c r="C43" s="8" t="s">
        <v>7</v>
      </c>
      <c r="D43" s="8">
        <v>2</v>
      </c>
      <c r="E43" s="8" t="str">
        <f t="shared" si="0"/>
        <v>Le</v>
      </c>
      <c r="F43" s="8" t="s">
        <v>78</v>
      </c>
      <c r="G43" s="8" t="s">
        <v>79</v>
      </c>
      <c r="H43" s="7">
        <v>46120</v>
      </c>
    </row>
    <row r="44" spans="1:8" x14ac:dyDescent="0.25">
      <c r="A44" s="8">
        <v>43</v>
      </c>
      <c r="B44" s="8">
        <v>11</v>
      </c>
      <c r="C44" s="8" t="s">
        <v>5</v>
      </c>
      <c r="D44" s="8">
        <v>3</v>
      </c>
      <c r="E44" s="8" t="str">
        <f t="shared" si="0"/>
        <v>Bb</v>
      </c>
      <c r="F44" s="8" t="s">
        <v>78</v>
      </c>
      <c r="G44" s="8" t="s">
        <v>79</v>
      </c>
      <c r="H44" s="7">
        <v>46120</v>
      </c>
    </row>
    <row r="45" spans="1:8" x14ac:dyDescent="0.25">
      <c r="A45" s="8">
        <v>44</v>
      </c>
      <c r="B45" s="8">
        <v>11</v>
      </c>
      <c r="C45" s="8" t="s">
        <v>8</v>
      </c>
      <c r="D45" s="8">
        <v>4</v>
      </c>
      <c r="E45" s="8" t="str">
        <f t="shared" si="0"/>
        <v>Mp</v>
      </c>
      <c r="F45" s="8" t="s">
        <v>78</v>
      </c>
      <c r="G45" s="8" t="s">
        <v>79</v>
      </c>
      <c r="H45" s="7">
        <v>46120</v>
      </c>
    </row>
    <row r="46" spans="1:8" x14ac:dyDescent="0.25">
      <c r="A46" s="8">
        <v>45</v>
      </c>
      <c r="B46" s="8">
        <v>12</v>
      </c>
      <c r="C46" s="8" t="s">
        <v>7</v>
      </c>
      <c r="D46" s="8">
        <v>1</v>
      </c>
      <c r="E46" s="8" t="str">
        <f t="shared" si="0"/>
        <v>Le</v>
      </c>
      <c r="F46" s="8" t="s">
        <v>78</v>
      </c>
      <c r="G46" s="8" t="s">
        <v>79</v>
      </c>
      <c r="H46" s="7">
        <v>46120</v>
      </c>
    </row>
    <row r="47" spans="1:8" x14ac:dyDescent="0.25">
      <c r="A47" s="8">
        <v>46</v>
      </c>
      <c r="B47" s="8">
        <v>12</v>
      </c>
      <c r="C47" s="8" t="s">
        <v>6</v>
      </c>
      <c r="D47" s="8">
        <v>2</v>
      </c>
      <c r="E47" s="8" t="str">
        <f t="shared" si="0"/>
        <v>Ctr</v>
      </c>
      <c r="F47" s="8" t="s">
        <v>78</v>
      </c>
      <c r="G47" s="8" t="s">
        <v>79</v>
      </c>
      <c r="H47" s="7">
        <v>46120</v>
      </c>
    </row>
    <row r="48" spans="1:8" x14ac:dyDescent="0.25">
      <c r="A48" s="8">
        <v>47</v>
      </c>
      <c r="B48" s="8">
        <v>12</v>
      </c>
      <c r="C48" s="8" t="s">
        <v>5</v>
      </c>
      <c r="D48" s="8">
        <v>3</v>
      </c>
      <c r="E48" s="8" t="str">
        <f t="shared" si="0"/>
        <v>Bb</v>
      </c>
      <c r="F48" s="8" t="s">
        <v>78</v>
      </c>
      <c r="G48" s="8" t="s">
        <v>79</v>
      </c>
      <c r="H48" s="7">
        <v>46120</v>
      </c>
    </row>
    <row r="49" spans="1:8" x14ac:dyDescent="0.25">
      <c r="A49" s="8">
        <v>48</v>
      </c>
      <c r="B49" s="8">
        <v>12</v>
      </c>
      <c r="C49" s="8" t="s">
        <v>8</v>
      </c>
      <c r="D49" s="8">
        <v>4</v>
      </c>
      <c r="E49" s="8" t="str">
        <f t="shared" si="0"/>
        <v>Mp</v>
      </c>
      <c r="F49" s="8" t="s">
        <v>78</v>
      </c>
      <c r="G49" s="8" t="s">
        <v>79</v>
      </c>
      <c r="H49" s="7">
        <v>46120</v>
      </c>
    </row>
    <row r="50" spans="1:8" x14ac:dyDescent="0.25">
      <c r="A50" s="8">
        <v>49</v>
      </c>
      <c r="B50" s="8">
        <v>13</v>
      </c>
      <c r="C50" s="8" t="s">
        <v>6</v>
      </c>
      <c r="D50" s="8">
        <v>1</v>
      </c>
      <c r="E50" s="8" t="str">
        <f t="shared" si="0"/>
        <v>Ctr</v>
      </c>
      <c r="F50" s="8" t="s">
        <v>78</v>
      </c>
      <c r="G50" s="8" t="s">
        <v>79</v>
      </c>
      <c r="H50" s="7">
        <v>46120</v>
      </c>
    </row>
    <row r="51" spans="1:8" x14ac:dyDescent="0.25">
      <c r="A51" s="8">
        <v>50</v>
      </c>
      <c r="B51" s="8">
        <v>13</v>
      </c>
      <c r="C51" s="8" t="s">
        <v>8</v>
      </c>
      <c r="D51" s="8">
        <v>2</v>
      </c>
      <c r="E51" s="8" t="str">
        <f t="shared" si="0"/>
        <v>Mp</v>
      </c>
      <c r="F51" s="8" t="s">
        <v>78</v>
      </c>
      <c r="G51" s="8" t="s">
        <v>79</v>
      </c>
      <c r="H51" s="7">
        <v>46120</v>
      </c>
    </row>
    <row r="52" spans="1:8" x14ac:dyDescent="0.25">
      <c r="A52" s="8">
        <v>51</v>
      </c>
      <c r="B52" s="8">
        <v>13</v>
      </c>
      <c r="C52" s="8" t="s">
        <v>7</v>
      </c>
      <c r="D52" s="8">
        <v>3</v>
      </c>
      <c r="E52" s="8" t="str">
        <f t="shared" si="0"/>
        <v>Le</v>
      </c>
      <c r="F52" s="8" t="s">
        <v>78</v>
      </c>
      <c r="G52" s="8" t="s">
        <v>79</v>
      </c>
      <c r="H52" s="7">
        <v>46120</v>
      </c>
    </row>
    <row r="53" spans="1:8" x14ac:dyDescent="0.25">
      <c r="A53" s="8">
        <v>52</v>
      </c>
      <c r="B53" s="8">
        <v>13</v>
      </c>
      <c r="C53" s="8" t="s">
        <v>5</v>
      </c>
      <c r="D53" s="8">
        <v>4</v>
      </c>
      <c r="E53" s="8" t="str">
        <f t="shared" si="0"/>
        <v>Bb</v>
      </c>
      <c r="F53" s="8" t="s">
        <v>78</v>
      </c>
      <c r="G53" s="8" t="s">
        <v>79</v>
      </c>
      <c r="H53" s="7">
        <v>46120</v>
      </c>
    </row>
    <row r="54" spans="1:8" x14ac:dyDescent="0.25">
      <c r="A54" s="8">
        <v>53</v>
      </c>
      <c r="B54" s="8">
        <v>14</v>
      </c>
      <c r="C54" s="8" t="s">
        <v>6</v>
      </c>
      <c r="D54" s="8">
        <v>1</v>
      </c>
      <c r="E54" s="8" t="str">
        <f t="shared" si="0"/>
        <v>Ctr</v>
      </c>
      <c r="F54" s="8" t="s">
        <v>78</v>
      </c>
      <c r="G54" s="8" t="s">
        <v>79</v>
      </c>
      <c r="H54" s="7">
        <v>46120</v>
      </c>
    </row>
    <row r="55" spans="1:8" x14ac:dyDescent="0.25">
      <c r="A55" s="8">
        <v>54</v>
      </c>
      <c r="B55" s="8">
        <v>14</v>
      </c>
      <c r="C55" s="8" t="s">
        <v>5</v>
      </c>
      <c r="D55" s="8">
        <v>2</v>
      </c>
      <c r="E55" s="8" t="str">
        <f t="shared" si="0"/>
        <v>Bb</v>
      </c>
      <c r="F55" s="8" t="s">
        <v>78</v>
      </c>
      <c r="G55" s="8" t="s">
        <v>79</v>
      </c>
      <c r="H55" s="7">
        <v>46120</v>
      </c>
    </row>
    <row r="56" spans="1:8" x14ac:dyDescent="0.25">
      <c r="A56" s="8">
        <v>55</v>
      </c>
      <c r="B56" s="8">
        <v>14</v>
      </c>
      <c r="C56" s="8" t="s">
        <v>8</v>
      </c>
      <c r="D56" s="8">
        <v>3</v>
      </c>
      <c r="E56" s="8" t="str">
        <f t="shared" si="0"/>
        <v>Mp</v>
      </c>
      <c r="F56" s="8" t="s">
        <v>78</v>
      </c>
      <c r="G56" s="8" t="s">
        <v>79</v>
      </c>
      <c r="H56" s="7">
        <v>46120</v>
      </c>
    </row>
    <row r="57" spans="1:8" x14ac:dyDescent="0.25">
      <c r="A57" s="8">
        <v>56</v>
      </c>
      <c r="B57" s="8">
        <v>14</v>
      </c>
      <c r="C57" s="8" t="s">
        <v>7</v>
      </c>
      <c r="D57" s="8">
        <v>4</v>
      </c>
      <c r="E57" s="8" t="str">
        <f t="shared" si="0"/>
        <v>Le</v>
      </c>
      <c r="F57" s="8" t="s">
        <v>78</v>
      </c>
      <c r="G57" s="8" t="s">
        <v>79</v>
      </c>
      <c r="H57" s="7">
        <v>46120</v>
      </c>
    </row>
    <row r="58" spans="1:8" x14ac:dyDescent="0.25">
      <c r="A58" s="8">
        <v>57</v>
      </c>
      <c r="B58" s="8" t="s">
        <v>70</v>
      </c>
      <c r="C58" s="8" t="s">
        <v>69</v>
      </c>
      <c r="D58" s="8" t="s">
        <v>70</v>
      </c>
      <c r="E58" s="8" t="s">
        <v>69</v>
      </c>
      <c r="F58" s="8" t="s">
        <v>78</v>
      </c>
      <c r="G58" s="8" t="s">
        <v>77</v>
      </c>
      <c r="H58" s="7">
        <v>46120</v>
      </c>
    </row>
    <row r="59" spans="1:8" x14ac:dyDescent="0.25">
      <c r="A59" s="8">
        <v>58</v>
      </c>
      <c r="B59" s="8" t="s">
        <v>70</v>
      </c>
      <c r="C59" s="8" t="s">
        <v>69</v>
      </c>
      <c r="D59" s="8" t="s">
        <v>70</v>
      </c>
      <c r="E59" s="8" t="s">
        <v>69</v>
      </c>
      <c r="F59" s="8" t="s">
        <v>78</v>
      </c>
      <c r="G59" s="8" t="s">
        <v>77</v>
      </c>
      <c r="H59" s="7">
        <v>46120</v>
      </c>
    </row>
    <row r="60" spans="1:8" x14ac:dyDescent="0.25">
      <c r="A60" s="8">
        <v>59</v>
      </c>
      <c r="B60" s="8" t="s">
        <v>70</v>
      </c>
      <c r="C60" s="8" t="s">
        <v>69</v>
      </c>
      <c r="D60" s="8" t="s">
        <v>70</v>
      </c>
      <c r="E60" s="8" t="s">
        <v>69</v>
      </c>
      <c r="F60" s="8" t="s">
        <v>78</v>
      </c>
      <c r="G60" s="8" t="s">
        <v>77</v>
      </c>
      <c r="H60" s="7">
        <v>46120</v>
      </c>
    </row>
    <row r="61" spans="1:8" x14ac:dyDescent="0.25">
      <c r="A61" s="8">
        <v>60</v>
      </c>
      <c r="B61" s="8" t="s">
        <v>70</v>
      </c>
      <c r="C61" s="8" t="s">
        <v>69</v>
      </c>
      <c r="D61" s="8" t="s">
        <v>70</v>
      </c>
      <c r="E61" s="8" t="s">
        <v>69</v>
      </c>
      <c r="F61" s="8" t="s">
        <v>78</v>
      </c>
      <c r="G61" s="8" t="s">
        <v>77</v>
      </c>
      <c r="H61" s="7">
        <v>46120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9982-E743-44D7-9995-94102FED833F}">
  <sheetPr>
    <tabColor theme="0" tint="-0.14999847407452621"/>
  </sheetPr>
  <dimension ref="A1:K43"/>
  <sheetViews>
    <sheetView workbookViewId="0">
      <selection activeCell="M42" sqref="M42"/>
    </sheetView>
  </sheetViews>
  <sheetFormatPr defaultRowHeight="15" x14ac:dyDescent="0.25"/>
  <cols>
    <col min="1" max="2" width="7.85546875" style="4" customWidth="1"/>
    <col min="3" max="3" width="13.28515625" style="4" customWidth="1"/>
    <col min="4" max="4" width="12.28515625" style="4" customWidth="1"/>
    <col min="5" max="5" width="10.7109375" style="4" customWidth="1"/>
    <col min="6" max="6" width="7.85546875" style="4" customWidth="1"/>
    <col min="7" max="7" width="11.140625" style="4" customWidth="1"/>
    <col min="8" max="8" width="14.42578125" style="4" customWidth="1"/>
    <col min="9" max="9" width="11" customWidth="1"/>
    <col min="10" max="10" width="9.140625" style="4"/>
  </cols>
  <sheetData>
    <row r="1" spans="1:11" x14ac:dyDescent="0.25">
      <c r="A1" s="9" t="s">
        <v>0</v>
      </c>
      <c r="B1" s="9" t="s">
        <v>1</v>
      </c>
      <c r="C1" s="9" t="s">
        <v>2</v>
      </c>
      <c r="D1" s="9" t="s">
        <v>4</v>
      </c>
      <c r="E1" s="9" t="s">
        <v>75</v>
      </c>
      <c r="F1" s="9" t="s">
        <v>74</v>
      </c>
      <c r="G1" s="9" t="s">
        <v>73</v>
      </c>
      <c r="H1" s="9" t="s">
        <v>80</v>
      </c>
      <c r="I1" s="9" t="s">
        <v>81</v>
      </c>
      <c r="J1" s="9" t="s">
        <v>82</v>
      </c>
      <c r="K1" s="9" t="s">
        <v>72</v>
      </c>
    </row>
    <row r="2" spans="1:11" x14ac:dyDescent="0.25">
      <c r="A2" s="8">
        <v>49</v>
      </c>
      <c r="B2" s="8">
        <v>13</v>
      </c>
      <c r="C2" s="8" t="s">
        <v>6</v>
      </c>
      <c r="D2" s="8">
        <v>1</v>
      </c>
      <c r="E2" s="8" t="str">
        <f t="shared" ref="E2:E43" si="0">IF(C2="Brevicoryne","Bb",
IF(C2="Control","Ctr",
IF(C2="Myzus","Mp",
IF(C2="Lipaphis","Le",""))))</f>
        <v>Ctr</v>
      </c>
      <c r="F2" s="4" t="s">
        <v>68</v>
      </c>
      <c r="G2" s="4" t="s">
        <v>67</v>
      </c>
      <c r="H2" s="4" t="s">
        <v>83</v>
      </c>
      <c r="I2" s="4" t="s">
        <v>84</v>
      </c>
      <c r="J2" s="4" t="s">
        <v>85</v>
      </c>
      <c r="K2" s="7">
        <v>46120</v>
      </c>
    </row>
    <row r="3" spans="1:11" x14ac:dyDescent="0.25">
      <c r="A3" s="8">
        <v>50</v>
      </c>
      <c r="B3" s="8">
        <v>13</v>
      </c>
      <c r="C3" s="8" t="s">
        <v>8</v>
      </c>
      <c r="D3" s="8">
        <v>2</v>
      </c>
      <c r="E3" s="8" t="str">
        <f t="shared" si="0"/>
        <v>Mp</v>
      </c>
      <c r="F3" s="4" t="s">
        <v>68</v>
      </c>
      <c r="G3" s="4" t="s">
        <v>67</v>
      </c>
      <c r="H3" s="4" t="s">
        <v>83</v>
      </c>
      <c r="I3" s="4" t="s">
        <v>84</v>
      </c>
      <c r="J3" s="4" t="s">
        <v>85</v>
      </c>
      <c r="K3" s="7">
        <v>46120</v>
      </c>
    </row>
    <row r="4" spans="1:11" x14ac:dyDescent="0.25">
      <c r="A4" s="8">
        <v>51</v>
      </c>
      <c r="B4" s="8">
        <v>13</v>
      </c>
      <c r="C4" s="8" t="s">
        <v>7</v>
      </c>
      <c r="D4" s="8">
        <v>3</v>
      </c>
      <c r="E4" s="8" t="str">
        <f t="shared" si="0"/>
        <v>Le</v>
      </c>
      <c r="F4" s="4" t="s">
        <v>68</v>
      </c>
      <c r="G4" s="4" t="s">
        <v>67</v>
      </c>
      <c r="H4" s="4" t="s">
        <v>83</v>
      </c>
      <c r="I4" s="4" t="s">
        <v>84</v>
      </c>
      <c r="J4" s="4" t="s">
        <v>85</v>
      </c>
      <c r="K4" s="7">
        <v>46120</v>
      </c>
    </row>
    <row r="5" spans="1:11" x14ac:dyDescent="0.25">
      <c r="A5" s="8">
        <v>52</v>
      </c>
      <c r="B5" s="8">
        <v>13</v>
      </c>
      <c r="C5" s="8" t="s">
        <v>5</v>
      </c>
      <c r="D5" s="8">
        <v>4</v>
      </c>
      <c r="E5" s="8" t="str">
        <f t="shared" si="0"/>
        <v>Bb</v>
      </c>
      <c r="F5" s="4" t="s">
        <v>68</v>
      </c>
      <c r="G5" s="4" t="s">
        <v>67</v>
      </c>
      <c r="H5" s="4" t="s">
        <v>83</v>
      </c>
      <c r="I5" s="4" t="s">
        <v>84</v>
      </c>
      <c r="J5" s="4" t="s">
        <v>85</v>
      </c>
      <c r="K5" s="7">
        <v>46120</v>
      </c>
    </row>
    <row r="6" spans="1:11" x14ac:dyDescent="0.25">
      <c r="A6" s="8">
        <v>53</v>
      </c>
      <c r="B6" s="8">
        <v>14</v>
      </c>
      <c r="C6" s="8" t="s">
        <v>6</v>
      </c>
      <c r="D6" s="8">
        <v>1</v>
      </c>
      <c r="E6" s="8" t="str">
        <f t="shared" si="0"/>
        <v>Ctr</v>
      </c>
      <c r="F6" s="4" t="s">
        <v>68</v>
      </c>
      <c r="G6" s="4" t="s">
        <v>67</v>
      </c>
      <c r="H6" s="4" t="s">
        <v>83</v>
      </c>
      <c r="I6" s="4" t="s">
        <v>84</v>
      </c>
      <c r="J6" s="4" t="s">
        <v>85</v>
      </c>
      <c r="K6" s="7">
        <v>46120</v>
      </c>
    </row>
    <row r="7" spans="1:11" x14ac:dyDescent="0.25">
      <c r="A7" s="8">
        <v>54</v>
      </c>
      <c r="B7" s="8">
        <v>14</v>
      </c>
      <c r="C7" s="8" t="s">
        <v>5</v>
      </c>
      <c r="D7" s="8">
        <v>2</v>
      </c>
      <c r="E7" s="8" t="str">
        <f t="shared" si="0"/>
        <v>Bb</v>
      </c>
      <c r="F7" s="4" t="s">
        <v>68</v>
      </c>
      <c r="G7" s="4" t="s">
        <v>67</v>
      </c>
      <c r="H7" s="4" t="s">
        <v>83</v>
      </c>
      <c r="I7" s="4" t="s">
        <v>84</v>
      </c>
      <c r="J7" s="4" t="s">
        <v>85</v>
      </c>
      <c r="K7" s="7">
        <v>46120</v>
      </c>
    </row>
    <row r="8" spans="1:11" x14ac:dyDescent="0.25">
      <c r="A8" s="8">
        <v>55</v>
      </c>
      <c r="B8" s="8">
        <v>14</v>
      </c>
      <c r="C8" s="8" t="s">
        <v>8</v>
      </c>
      <c r="D8" s="8">
        <v>3</v>
      </c>
      <c r="E8" s="8" t="str">
        <f t="shared" si="0"/>
        <v>Mp</v>
      </c>
      <c r="F8" s="4" t="s">
        <v>68</v>
      </c>
      <c r="G8" s="4" t="s">
        <v>67</v>
      </c>
      <c r="H8" s="4" t="s">
        <v>83</v>
      </c>
      <c r="I8" s="4" t="s">
        <v>84</v>
      </c>
      <c r="J8" s="4" t="s">
        <v>85</v>
      </c>
      <c r="K8" s="7">
        <v>46120</v>
      </c>
    </row>
    <row r="9" spans="1:11" x14ac:dyDescent="0.25">
      <c r="A9" s="8">
        <v>56</v>
      </c>
      <c r="B9" s="8">
        <v>14</v>
      </c>
      <c r="C9" s="8" t="s">
        <v>7</v>
      </c>
      <c r="D9" s="8">
        <v>4</v>
      </c>
      <c r="E9" s="8" t="str">
        <f t="shared" si="0"/>
        <v>Le</v>
      </c>
      <c r="F9" s="4" t="s">
        <v>68</v>
      </c>
      <c r="G9" s="4" t="s">
        <v>67</v>
      </c>
      <c r="H9" s="4" t="s">
        <v>83</v>
      </c>
      <c r="I9" s="4" t="s">
        <v>84</v>
      </c>
      <c r="J9" s="4" t="s">
        <v>85</v>
      </c>
      <c r="K9" s="7">
        <v>46120</v>
      </c>
    </row>
    <row r="10" spans="1:11" x14ac:dyDescent="0.25">
      <c r="A10" s="8">
        <v>50</v>
      </c>
      <c r="B10" s="8">
        <v>13</v>
      </c>
      <c r="C10" s="8" t="s">
        <v>8</v>
      </c>
      <c r="D10" s="8">
        <v>2</v>
      </c>
      <c r="E10" s="8" t="str">
        <f t="shared" si="0"/>
        <v>Mp</v>
      </c>
      <c r="F10" s="4" t="s">
        <v>86</v>
      </c>
      <c r="G10" s="4" t="s">
        <v>87</v>
      </c>
      <c r="H10" s="4" t="s">
        <v>83</v>
      </c>
      <c r="I10" s="4" t="s">
        <v>84</v>
      </c>
      <c r="J10" s="4" t="s">
        <v>85</v>
      </c>
      <c r="K10" s="7">
        <v>46120</v>
      </c>
    </row>
    <row r="11" spans="1:11" x14ac:dyDescent="0.25">
      <c r="A11" s="8">
        <v>51</v>
      </c>
      <c r="B11" s="8">
        <v>13</v>
      </c>
      <c r="C11" s="8" t="s">
        <v>7</v>
      </c>
      <c r="D11" s="8">
        <v>3</v>
      </c>
      <c r="E11" s="8" t="str">
        <f t="shared" si="0"/>
        <v>Le</v>
      </c>
      <c r="F11" s="4" t="s">
        <v>86</v>
      </c>
      <c r="G11" s="4" t="s">
        <v>87</v>
      </c>
      <c r="H11" s="4" t="s">
        <v>83</v>
      </c>
      <c r="I11" s="4" t="s">
        <v>84</v>
      </c>
      <c r="J11" s="4" t="s">
        <v>85</v>
      </c>
      <c r="K11" s="7">
        <v>46120</v>
      </c>
    </row>
    <row r="12" spans="1:11" x14ac:dyDescent="0.25">
      <c r="A12" s="8">
        <v>52</v>
      </c>
      <c r="B12" s="8">
        <v>13</v>
      </c>
      <c r="C12" s="8" t="s">
        <v>5</v>
      </c>
      <c r="D12" s="8">
        <v>4</v>
      </c>
      <c r="E12" s="8" t="str">
        <f t="shared" si="0"/>
        <v>Bb</v>
      </c>
      <c r="F12" s="4" t="s">
        <v>86</v>
      </c>
      <c r="G12" s="4" t="s">
        <v>87</v>
      </c>
      <c r="H12" s="4" t="s">
        <v>83</v>
      </c>
      <c r="I12" s="4" t="s">
        <v>84</v>
      </c>
      <c r="J12" s="4" t="s">
        <v>85</v>
      </c>
      <c r="K12" s="7">
        <v>46120</v>
      </c>
    </row>
    <row r="13" spans="1:11" x14ac:dyDescent="0.25">
      <c r="A13" s="8">
        <v>54</v>
      </c>
      <c r="B13" s="8">
        <v>14</v>
      </c>
      <c r="C13" s="8" t="s">
        <v>5</v>
      </c>
      <c r="D13" s="8">
        <v>2</v>
      </c>
      <c r="E13" s="8" t="str">
        <f t="shared" si="0"/>
        <v>Bb</v>
      </c>
      <c r="F13" s="4" t="s">
        <v>86</v>
      </c>
      <c r="G13" s="4" t="s">
        <v>87</v>
      </c>
      <c r="H13" s="4" t="s">
        <v>83</v>
      </c>
      <c r="I13" s="4" t="s">
        <v>84</v>
      </c>
      <c r="J13" s="4" t="s">
        <v>85</v>
      </c>
      <c r="K13" s="7">
        <v>46120</v>
      </c>
    </row>
    <row r="14" spans="1:11" x14ac:dyDescent="0.25">
      <c r="A14" s="8">
        <v>55</v>
      </c>
      <c r="B14" s="8">
        <v>14</v>
      </c>
      <c r="C14" s="8" t="s">
        <v>8</v>
      </c>
      <c r="D14" s="8">
        <v>3</v>
      </c>
      <c r="E14" s="8" t="str">
        <f t="shared" si="0"/>
        <v>Mp</v>
      </c>
      <c r="F14" s="4" t="s">
        <v>86</v>
      </c>
      <c r="G14" s="4" t="s">
        <v>87</v>
      </c>
      <c r="H14" s="4" t="s">
        <v>83</v>
      </c>
      <c r="I14" s="4" t="s">
        <v>84</v>
      </c>
      <c r="J14" s="4" t="s">
        <v>85</v>
      </c>
      <c r="K14" s="7">
        <v>46120</v>
      </c>
    </row>
    <row r="15" spans="1:11" x14ac:dyDescent="0.25">
      <c r="A15" s="8">
        <v>56</v>
      </c>
      <c r="B15" s="8">
        <v>14</v>
      </c>
      <c r="C15" s="8" t="s">
        <v>7</v>
      </c>
      <c r="D15" s="8">
        <v>4</v>
      </c>
      <c r="E15" s="8" t="str">
        <f t="shared" si="0"/>
        <v>Le</v>
      </c>
      <c r="F15" s="4" t="s">
        <v>86</v>
      </c>
      <c r="G15" s="4" t="s">
        <v>87</v>
      </c>
      <c r="H15" s="4" t="s">
        <v>83</v>
      </c>
      <c r="I15" s="4" t="s">
        <v>84</v>
      </c>
      <c r="J15" s="4" t="s">
        <v>85</v>
      </c>
      <c r="K15" s="7">
        <v>46120</v>
      </c>
    </row>
    <row r="16" spans="1:11" x14ac:dyDescent="0.25">
      <c r="A16" s="8">
        <v>49</v>
      </c>
      <c r="B16" s="8">
        <v>13</v>
      </c>
      <c r="C16" s="8" t="s">
        <v>6</v>
      </c>
      <c r="D16" s="8">
        <v>1</v>
      </c>
      <c r="E16" s="8" t="str">
        <f t="shared" si="0"/>
        <v>Ctr</v>
      </c>
      <c r="F16" s="4" t="s">
        <v>68</v>
      </c>
      <c r="G16" s="4" t="s">
        <v>67</v>
      </c>
      <c r="H16" s="4" t="s">
        <v>83</v>
      </c>
      <c r="I16" s="4">
        <v>1</v>
      </c>
      <c r="J16" s="4" t="s">
        <v>88</v>
      </c>
      <c r="K16" s="7">
        <v>46120</v>
      </c>
    </row>
    <row r="17" spans="1:11" x14ac:dyDescent="0.25">
      <c r="A17" s="8">
        <v>50</v>
      </c>
      <c r="B17" s="8">
        <v>13</v>
      </c>
      <c r="C17" s="8" t="s">
        <v>8</v>
      </c>
      <c r="D17" s="8">
        <v>2</v>
      </c>
      <c r="E17" s="8" t="str">
        <f t="shared" si="0"/>
        <v>Mp</v>
      </c>
      <c r="F17" s="4" t="s">
        <v>68</v>
      </c>
      <c r="G17" s="4" t="s">
        <v>67</v>
      </c>
      <c r="H17" s="4" t="s">
        <v>83</v>
      </c>
      <c r="I17" s="4">
        <v>1</v>
      </c>
      <c r="J17" s="4" t="s">
        <v>88</v>
      </c>
      <c r="K17" s="7">
        <v>46120</v>
      </c>
    </row>
    <row r="18" spans="1:11" x14ac:dyDescent="0.25">
      <c r="A18" s="8">
        <v>51</v>
      </c>
      <c r="B18" s="8">
        <v>13</v>
      </c>
      <c r="C18" s="8" t="s">
        <v>7</v>
      </c>
      <c r="D18" s="8">
        <v>3</v>
      </c>
      <c r="E18" s="8" t="str">
        <f t="shared" si="0"/>
        <v>Le</v>
      </c>
      <c r="F18" s="4" t="s">
        <v>68</v>
      </c>
      <c r="G18" s="4" t="s">
        <v>67</v>
      </c>
      <c r="H18" s="4" t="s">
        <v>83</v>
      </c>
      <c r="I18" s="4">
        <v>1</v>
      </c>
      <c r="J18" s="4" t="s">
        <v>88</v>
      </c>
      <c r="K18" s="7">
        <v>46120</v>
      </c>
    </row>
    <row r="19" spans="1:11" x14ac:dyDescent="0.25">
      <c r="A19" s="8">
        <v>52</v>
      </c>
      <c r="B19" s="8">
        <v>13</v>
      </c>
      <c r="C19" s="8" t="s">
        <v>5</v>
      </c>
      <c r="D19" s="8">
        <v>4</v>
      </c>
      <c r="E19" s="8" t="str">
        <f t="shared" si="0"/>
        <v>Bb</v>
      </c>
      <c r="F19" s="4" t="s">
        <v>68</v>
      </c>
      <c r="G19" s="4" t="s">
        <v>67</v>
      </c>
      <c r="H19" s="4" t="s">
        <v>83</v>
      </c>
      <c r="I19" s="4">
        <v>1</v>
      </c>
      <c r="J19" s="4" t="s">
        <v>88</v>
      </c>
      <c r="K19" s="7">
        <v>46120</v>
      </c>
    </row>
    <row r="20" spans="1:11" x14ac:dyDescent="0.25">
      <c r="A20" s="8">
        <v>53</v>
      </c>
      <c r="B20" s="8">
        <v>14</v>
      </c>
      <c r="C20" s="8" t="s">
        <v>6</v>
      </c>
      <c r="D20" s="8">
        <v>1</v>
      </c>
      <c r="E20" s="8" t="str">
        <f t="shared" si="0"/>
        <v>Ctr</v>
      </c>
      <c r="F20" s="4" t="s">
        <v>68</v>
      </c>
      <c r="G20" s="4" t="s">
        <v>67</v>
      </c>
      <c r="H20" s="4" t="s">
        <v>83</v>
      </c>
      <c r="I20" s="4">
        <v>1</v>
      </c>
      <c r="J20" s="4" t="s">
        <v>88</v>
      </c>
      <c r="K20" s="7">
        <v>46120</v>
      </c>
    </row>
    <row r="21" spans="1:11" x14ac:dyDescent="0.25">
      <c r="A21" s="8">
        <v>54</v>
      </c>
      <c r="B21" s="8">
        <v>14</v>
      </c>
      <c r="C21" s="8" t="s">
        <v>5</v>
      </c>
      <c r="D21" s="8">
        <v>2</v>
      </c>
      <c r="E21" s="8" t="str">
        <f t="shared" si="0"/>
        <v>Bb</v>
      </c>
      <c r="F21" s="4" t="s">
        <v>68</v>
      </c>
      <c r="G21" s="4" t="s">
        <v>67</v>
      </c>
      <c r="H21" s="4" t="s">
        <v>83</v>
      </c>
      <c r="I21" s="4">
        <v>1</v>
      </c>
      <c r="J21" s="4" t="s">
        <v>88</v>
      </c>
      <c r="K21" s="7">
        <v>46120</v>
      </c>
    </row>
    <row r="22" spans="1:11" x14ac:dyDescent="0.25">
      <c r="A22" s="8">
        <v>55</v>
      </c>
      <c r="B22" s="8">
        <v>14</v>
      </c>
      <c r="C22" s="8" t="s">
        <v>8</v>
      </c>
      <c r="D22" s="8">
        <v>3</v>
      </c>
      <c r="E22" s="8" t="str">
        <f t="shared" si="0"/>
        <v>Mp</v>
      </c>
      <c r="F22" s="4" t="s">
        <v>68</v>
      </c>
      <c r="G22" s="4" t="s">
        <v>67</v>
      </c>
      <c r="H22" s="4" t="s">
        <v>83</v>
      </c>
      <c r="I22" s="4">
        <v>1</v>
      </c>
      <c r="J22" s="4" t="s">
        <v>88</v>
      </c>
      <c r="K22" s="7">
        <v>46120</v>
      </c>
    </row>
    <row r="23" spans="1:11" x14ac:dyDescent="0.25">
      <c r="A23" s="8">
        <v>56</v>
      </c>
      <c r="B23" s="8">
        <v>14</v>
      </c>
      <c r="C23" s="8" t="s">
        <v>7</v>
      </c>
      <c r="D23" s="8">
        <v>4</v>
      </c>
      <c r="E23" s="8" t="str">
        <f t="shared" si="0"/>
        <v>Le</v>
      </c>
      <c r="F23" s="4" t="s">
        <v>68</v>
      </c>
      <c r="G23" s="4" t="s">
        <v>67</v>
      </c>
      <c r="H23" s="4" t="s">
        <v>83</v>
      </c>
      <c r="I23" s="4">
        <v>1</v>
      </c>
      <c r="J23" s="4" t="s">
        <v>88</v>
      </c>
      <c r="K23" s="7">
        <v>46120</v>
      </c>
    </row>
    <row r="24" spans="1:11" x14ac:dyDescent="0.25">
      <c r="A24" s="8">
        <v>50</v>
      </c>
      <c r="B24" s="8">
        <v>13</v>
      </c>
      <c r="C24" s="8" t="s">
        <v>8</v>
      </c>
      <c r="D24" s="8">
        <v>2</v>
      </c>
      <c r="E24" s="8" t="str">
        <f t="shared" si="0"/>
        <v>Mp</v>
      </c>
      <c r="F24" s="4" t="s">
        <v>86</v>
      </c>
      <c r="G24" s="4" t="s">
        <v>87</v>
      </c>
      <c r="H24" s="4" t="s">
        <v>83</v>
      </c>
      <c r="I24" s="4">
        <v>1</v>
      </c>
      <c r="J24" s="4" t="s">
        <v>88</v>
      </c>
      <c r="K24" s="7">
        <v>46120</v>
      </c>
    </row>
    <row r="25" spans="1:11" x14ac:dyDescent="0.25">
      <c r="A25" s="8">
        <v>51</v>
      </c>
      <c r="B25" s="8">
        <v>13</v>
      </c>
      <c r="C25" s="8" t="s">
        <v>7</v>
      </c>
      <c r="D25" s="8">
        <v>3</v>
      </c>
      <c r="E25" s="8" t="str">
        <f t="shared" si="0"/>
        <v>Le</v>
      </c>
      <c r="F25" s="4" t="s">
        <v>86</v>
      </c>
      <c r="G25" s="4" t="s">
        <v>87</v>
      </c>
      <c r="H25" s="4" t="s">
        <v>83</v>
      </c>
      <c r="I25" s="4">
        <v>1</v>
      </c>
      <c r="J25" s="4" t="s">
        <v>88</v>
      </c>
      <c r="K25" s="7">
        <v>46120</v>
      </c>
    </row>
    <row r="26" spans="1:11" x14ac:dyDescent="0.25">
      <c r="A26" s="8">
        <v>52</v>
      </c>
      <c r="B26" s="8">
        <v>13</v>
      </c>
      <c r="C26" s="8" t="s">
        <v>5</v>
      </c>
      <c r="D26" s="8">
        <v>4</v>
      </c>
      <c r="E26" s="8" t="str">
        <f t="shared" si="0"/>
        <v>Bb</v>
      </c>
      <c r="F26" s="4" t="s">
        <v>86</v>
      </c>
      <c r="G26" s="4" t="s">
        <v>87</v>
      </c>
      <c r="H26" s="4" t="s">
        <v>83</v>
      </c>
      <c r="I26" s="4">
        <v>1</v>
      </c>
      <c r="J26" s="4" t="s">
        <v>88</v>
      </c>
      <c r="K26" s="7">
        <v>46120</v>
      </c>
    </row>
    <row r="27" spans="1:11" x14ac:dyDescent="0.25">
      <c r="A27" s="8">
        <v>54</v>
      </c>
      <c r="B27" s="8">
        <v>14</v>
      </c>
      <c r="C27" s="8" t="s">
        <v>5</v>
      </c>
      <c r="D27" s="8">
        <v>2</v>
      </c>
      <c r="E27" s="8" t="str">
        <f t="shared" si="0"/>
        <v>Bb</v>
      </c>
      <c r="F27" s="4" t="s">
        <v>86</v>
      </c>
      <c r="G27" s="4" t="s">
        <v>87</v>
      </c>
      <c r="H27" s="4" t="s">
        <v>83</v>
      </c>
      <c r="I27" s="4">
        <v>1</v>
      </c>
      <c r="J27" s="4" t="s">
        <v>88</v>
      </c>
      <c r="K27" s="7">
        <v>46120</v>
      </c>
    </row>
    <row r="28" spans="1:11" x14ac:dyDescent="0.25">
      <c r="A28" s="8">
        <v>55</v>
      </c>
      <c r="B28" s="8">
        <v>14</v>
      </c>
      <c r="C28" s="8" t="s">
        <v>8</v>
      </c>
      <c r="D28" s="8">
        <v>3</v>
      </c>
      <c r="E28" s="8" t="str">
        <f t="shared" si="0"/>
        <v>Mp</v>
      </c>
      <c r="F28" s="4" t="s">
        <v>86</v>
      </c>
      <c r="G28" s="4" t="s">
        <v>87</v>
      </c>
      <c r="H28" s="4" t="s">
        <v>83</v>
      </c>
      <c r="I28" s="4">
        <v>1</v>
      </c>
      <c r="J28" s="4" t="s">
        <v>88</v>
      </c>
      <c r="K28" s="7">
        <v>46120</v>
      </c>
    </row>
    <row r="29" spans="1:11" x14ac:dyDescent="0.25">
      <c r="A29" s="8">
        <v>56</v>
      </c>
      <c r="B29" s="8">
        <v>14</v>
      </c>
      <c r="C29" s="8" t="s">
        <v>7</v>
      </c>
      <c r="D29" s="8">
        <v>4</v>
      </c>
      <c r="E29" s="8" t="str">
        <f t="shared" si="0"/>
        <v>Le</v>
      </c>
      <c r="F29" s="4" t="s">
        <v>86</v>
      </c>
      <c r="G29" s="4" t="s">
        <v>87</v>
      </c>
      <c r="H29" s="4" t="s">
        <v>83</v>
      </c>
      <c r="I29" s="4">
        <v>1</v>
      </c>
      <c r="J29" s="4" t="s">
        <v>88</v>
      </c>
      <c r="K29" s="7">
        <v>46120</v>
      </c>
    </row>
    <row r="30" spans="1:11" x14ac:dyDescent="0.25">
      <c r="A30" s="8">
        <v>49</v>
      </c>
      <c r="B30" s="8">
        <v>13</v>
      </c>
      <c r="C30" s="8" t="s">
        <v>6</v>
      </c>
      <c r="D30" s="8">
        <v>1</v>
      </c>
      <c r="E30" s="8" t="str">
        <f t="shared" si="0"/>
        <v>Ctr</v>
      </c>
      <c r="F30" s="4" t="s">
        <v>68</v>
      </c>
      <c r="G30" s="4" t="s">
        <v>67</v>
      </c>
      <c r="H30" s="4" t="s">
        <v>83</v>
      </c>
      <c r="I30" s="4">
        <v>2</v>
      </c>
      <c r="J30" s="4" t="s">
        <v>88</v>
      </c>
      <c r="K30" s="7">
        <v>46120</v>
      </c>
    </row>
    <row r="31" spans="1:11" x14ac:dyDescent="0.25">
      <c r="A31" s="8">
        <v>50</v>
      </c>
      <c r="B31" s="8">
        <v>13</v>
      </c>
      <c r="C31" s="8" t="s">
        <v>8</v>
      </c>
      <c r="D31" s="8">
        <v>2</v>
      </c>
      <c r="E31" s="8" t="str">
        <f t="shared" si="0"/>
        <v>Mp</v>
      </c>
      <c r="F31" s="4" t="s">
        <v>68</v>
      </c>
      <c r="G31" s="4" t="s">
        <v>67</v>
      </c>
      <c r="H31" s="4" t="s">
        <v>83</v>
      </c>
      <c r="I31" s="4">
        <v>2</v>
      </c>
      <c r="J31" s="4" t="s">
        <v>88</v>
      </c>
      <c r="K31" s="7">
        <v>46120</v>
      </c>
    </row>
    <row r="32" spans="1:11" x14ac:dyDescent="0.25">
      <c r="A32" s="8">
        <v>51</v>
      </c>
      <c r="B32" s="8">
        <v>13</v>
      </c>
      <c r="C32" s="8" t="s">
        <v>7</v>
      </c>
      <c r="D32" s="8">
        <v>3</v>
      </c>
      <c r="E32" s="8" t="str">
        <f t="shared" si="0"/>
        <v>Le</v>
      </c>
      <c r="F32" s="4" t="s">
        <v>68</v>
      </c>
      <c r="G32" s="4" t="s">
        <v>67</v>
      </c>
      <c r="H32" s="4" t="s">
        <v>83</v>
      </c>
      <c r="I32" s="4">
        <v>2</v>
      </c>
      <c r="J32" s="4" t="s">
        <v>88</v>
      </c>
      <c r="K32" s="7">
        <v>46120</v>
      </c>
    </row>
    <row r="33" spans="1:11" x14ac:dyDescent="0.25">
      <c r="A33" s="8">
        <v>52</v>
      </c>
      <c r="B33" s="8">
        <v>13</v>
      </c>
      <c r="C33" s="8" t="s">
        <v>5</v>
      </c>
      <c r="D33" s="8">
        <v>4</v>
      </c>
      <c r="E33" s="8" t="str">
        <f t="shared" si="0"/>
        <v>Bb</v>
      </c>
      <c r="F33" s="4" t="s">
        <v>68</v>
      </c>
      <c r="G33" s="4" t="s">
        <v>67</v>
      </c>
      <c r="H33" s="4" t="s">
        <v>83</v>
      </c>
      <c r="I33" s="4">
        <v>2</v>
      </c>
      <c r="J33" s="4" t="s">
        <v>88</v>
      </c>
      <c r="K33" s="7">
        <v>46120</v>
      </c>
    </row>
    <row r="34" spans="1:11" x14ac:dyDescent="0.25">
      <c r="A34" s="8">
        <v>53</v>
      </c>
      <c r="B34" s="8">
        <v>14</v>
      </c>
      <c r="C34" s="8" t="s">
        <v>6</v>
      </c>
      <c r="D34" s="8">
        <v>1</v>
      </c>
      <c r="E34" s="8" t="str">
        <f t="shared" si="0"/>
        <v>Ctr</v>
      </c>
      <c r="F34" s="4" t="s">
        <v>68</v>
      </c>
      <c r="G34" s="4" t="s">
        <v>67</v>
      </c>
      <c r="H34" s="4" t="s">
        <v>83</v>
      </c>
      <c r="I34" s="4">
        <v>2</v>
      </c>
      <c r="J34" s="4" t="s">
        <v>88</v>
      </c>
      <c r="K34" s="7">
        <v>46120</v>
      </c>
    </row>
    <row r="35" spans="1:11" x14ac:dyDescent="0.25">
      <c r="A35" s="8">
        <v>54</v>
      </c>
      <c r="B35" s="8">
        <v>14</v>
      </c>
      <c r="C35" s="8" t="s">
        <v>5</v>
      </c>
      <c r="D35" s="8">
        <v>2</v>
      </c>
      <c r="E35" s="8" t="str">
        <f t="shared" si="0"/>
        <v>Bb</v>
      </c>
      <c r="F35" s="4" t="s">
        <v>68</v>
      </c>
      <c r="G35" s="4" t="s">
        <v>67</v>
      </c>
      <c r="H35" s="4" t="s">
        <v>83</v>
      </c>
      <c r="I35" s="4">
        <v>2</v>
      </c>
      <c r="J35" s="4" t="s">
        <v>88</v>
      </c>
      <c r="K35" s="7">
        <v>46120</v>
      </c>
    </row>
    <row r="36" spans="1:11" x14ac:dyDescent="0.25">
      <c r="A36" s="8">
        <v>55</v>
      </c>
      <c r="B36" s="8">
        <v>14</v>
      </c>
      <c r="C36" s="8" t="s">
        <v>8</v>
      </c>
      <c r="D36" s="8">
        <v>3</v>
      </c>
      <c r="E36" s="8" t="str">
        <f t="shared" si="0"/>
        <v>Mp</v>
      </c>
      <c r="F36" s="4" t="s">
        <v>68</v>
      </c>
      <c r="G36" s="4" t="s">
        <v>67</v>
      </c>
      <c r="H36" s="4" t="s">
        <v>83</v>
      </c>
      <c r="I36" s="4">
        <v>2</v>
      </c>
      <c r="J36" s="4" t="s">
        <v>88</v>
      </c>
      <c r="K36" s="7">
        <v>46120</v>
      </c>
    </row>
    <row r="37" spans="1:11" x14ac:dyDescent="0.25">
      <c r="A37" s="8">
        <v>56</v>
      </c>
      <c r="B37" s="8">
        <v>14</v>
      </c>
      <c r="C37" s="8" t="s">
        <v>7</v>
      </c>
      <c r="D37" s="8">
        <v>4</v>
      </c>
      <c r="E37" s="8" t="str">
        <f t="shared" si="0"/>
        <v>Le</v>
      </c>
      <c r="F37" s="4" t="s">
        <v>68</v>
      </c>
      <c r="G37" s="4" t="s">
        <v>67</v>
      </c>
      <c r="H37" s="4" t="s">
        <v>83</v>
      </c>
      <c r="I37" s="4">
        <v>2</v>
      </c>
      <c r="J37" s="4" t="s">
        <v>88</v>
      </c>
      <c r="K37" s="7">
        <v>46120</v>
      </c>
    </row>
    <row r="38" spans="1:11" x14ac:dyDescent="0.25">
      <c r="A38" s="8">
        <v>50</v>
      </c>
      <c r="B38" s="8">
        <v>13</v>
      </c>
      <c r="C38" s="8" t="s">
        <v>8</v>
      </c>
      <c r="D38" s="8">
        <v>2</v>
      </c>
      <c r="E38" s="8" t="str">
        <f t="shared" si="0"/>
        <v>Mp</v>
      </c>
      <c r="F38" s="4" t="s">
        <v>86</v>
      </c>
      <c r="G38" s="4" t="s">
        <v>87</v>
      </c>
      <c r="H38" s="4" t="s">
        <v>83</v>
      </c>
      <c r="I38" s="4">
        <v>2</v>
      </c>
      <c r="J38" s="4" t="s">
        <v>88</v>
      </c>
      <c r="K38" s="7">
        <v>46120</v>
      </c>
    </row>
    <row r="39" spans="1:11" x14ac:dyDescent="0.25">
      <c r="A39" s="8">
        <v>51</v>
      </c>
      <c r="B39" s="8">
        <v>13</v>
      </c>
      <c r="C39" s="8" t="s">
        <v>7</v>
      </c>
      <c r="D39" s="8">
        <v>3</v>
      </c>
      <c r="E39" s="8" t="str">
        <f t="shared" si="0"/>
        <v>Le</v>
      </c>
      <c r="F39" s="4" t="s">
        <v>86</v>
      </c>
      <c r="G39" s="4" t="s">
        <v>87</v>
      </c>
      <c r="H39" s="4" t="s">
        <v>83</v>
      </c>
      <c r="I39" s="4">
        <v>2</v>
      </c>
      <c r="J39" s="4" t="s">
        <v>88</v>
      </c>
      <c r="K39" s="7">
        <v>46120</v>
      </c>
    </row>
    <row r="40" spans="1:11" x14ac:dyDescent="0.25">
      <c r="A40" s="8">
        <v>52</v>
      </c>
      <c r="B40" s="8">
        <v>13</v>
      </c>
      <c r="C40" s="8" t="s">
        <v>5</v>
      </c>
      <c r="D40" s="8">
        <v>4</v>
      </c>
      <c r="E40" s="8" t="str">
        <f t="shared" si="0"/>
        <v>Bb</v>
      </c>
      <c r="F40" s="4" t="s">
        <v>86</v>
      </c>
      <c r="G40" s="4" t="s">
        <v>87</v>
      </c>
      <c r="H40" s="4" t="s">
        <v>83</v>
      </c>
      <c r="I40" s="4">
        <v>2</v>
      </c>
      <c r="J40" s="4" t="s">
        <v>88</v>
      </c>
      <c r="K40" s="7">
        <v>46120</v>
      </c>
    </row>
    <row r="41" spans="1:11" x14ac:dyDescent="0.25">
      <c r="A41" s="8">
        <v>54</v>
      </c>
      <c r="B41" s="8">
        <v>14</v>
      </c>
      <c r="C41" s="8" t="s">
        <v>5</v>
      </c>
      <c r="D41" s="8">
        <v>2</v>
      </c>
      <c r="E41" s="8" t="str">
        <f t="shared" si="0"/>
        <v>Bb</v>
      </c>
      <c r="F41" s="4" t="s">
        <v>86</v>
      </c>
      <c r="G41" s="4" t="s">
        <v>87</v>
      </c>
      <c r="H41" s="4" t="s">
        <v>83</v>
      </c>
      <c r="I41" s="4">
        <v>2</v>
      </c>
      <c r="J41" s="4" t="s">
        <v>88</v>
      </c>
      <c r="K41" s="7">
        <v>46120</v>
      </c>
    </row>
    <row r="42" spans="1:11" x14ac:dyDescent="0.25">
      <c r="A42" s="8">
        <v>55</v>
      </c>
      <c r="B42" s="8">
        <v>14</v>
      </c>
      <c r="C42" s="8" t="s">
        <v>8</v>
      </c>
      <c r="D42" s="8">
        <v>3</v>
      </c>
      <c r="E42" s="8" t="str">
        <f t="shared" si="0"/>
        <v>Mp</v>
      </c>
      <c r="F42" s="4" t="s">
        <v>86</v>
      </c>
      <c r="G42" s="4" t="s">
        <v>87</v>
      </c>
      <c r="H42" s="4" t="s">
        <v>83</v>
      </c>
      <c r="I42" s="4">
        <v>2</v>
      </c>
      <c r="J42" s="4" t="s">
        <v>88</v>
      </c>
      <c r="K42" s="7">
        <v>46120</v>
      </c>
    </row>
    <row r="43" spans="1:11" x14ac:dyDescent="0.25">
      <c r="A43" s="8">
        <v>56</v>
      </c>
      <c r="B43" s="8">
        <v>14</v>
      </c>
      <c r="C43" s="8" t="s">
        <v>7</v>
      </c>
      <c r="D43" s="8">
        <v>4</v>
      </c>
      <c r="E43" s="8" t="str">
        <f t="shared" si="0"/>
        <v>Le</v>
      </c>
      <c r="F43" s="4" t="s">
        <v>86</v>
      </c>
      <c r="G43" s="4" t="s">
        <v>87</v>
      </c>
      <c r="H43" s="4" t="s">
        <v>83</v>
      </c>
      <c r="I43" s="4">
        <v>2</v>
      </c>
      <c r="J43" s="4" t="s">
        <v>88</v>
      </c>
      <c r="K43" s="7">
        <v>46120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4233A-3733-46E7-ACF7-5CEF8112FF42}">
  <sheetPr>
    <tabColor theme="8" tint="0.39997558519241921"/>
  </sheetPr>
  <dimension ref="A1:G43"/>
  <sheetViews>
    <sheetView workbookViewId="0">
      <selection activeCell="G1" sqref="G1"/>
    </sheetView>
  </sheetViews>
  <sheetFormatPr defaultRowHeight="15" x14ac:dyDescent="0.25"/>
  <cols>
    <col min="1" max="2" width="8.85546875" style="4"/>
    <col min="3" max="3" width="15.7109375" style="4" customWidth="1"/>
    <col min="4" max="4" width="17.85546875" style="4" customWidth="1"/>
    <col min="5" max="6" width="14" style="4" customWidth="1"/>
    <col min="7" max="7" width="9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94</v>
      </c>
      <c r="E1" s="1" t="s">
        <v>95</v>
      </c>
      <c r="F1" s="1" t="s">
        <v>96</v>
      </c>
      <c r="G1" s="2" t="s">
        <v>97</v>
      </c>
    </row>
    <row r="2" spans="1:7" x14ac:dyDescent="0.25">
      <c r="A2" s="4">
        <v>1</v>
      </c>
      <c r="B2" s="4">
        <v>1</v>
      </c>
      <c r="C2" s="4" t="s">
        <v>5</v>
      </c>
      <c r="D2" s="4">
        <v>11</v>
      </c>
      <c r="E2" s="4">
        <v>0</v>
      </c>
      <c r="F2" s="4">
        <v>23</v>
      </c>
    </row>
    <row r="3" spans="1:7" x14ac:dyDescent="0.25">
      <c r="A3" s="4">
        <v>8</v>
      </c>
      <c r="B3" s="4">
        <v>2</v>
      </c>
      <c r="C3" s="4" t="s">
        <v>5</v>
      </c>
      <c r="D3" s="4">
        <v>9</v>
      </c>
      <c r="E3" s="4">
        <v>0</v>
      </c>
      <c r="F3" s="4">
        <v>6</v>
      </c>
    </row>
    <row r="4" spans="1:7" x14ac:dyDescent="0.25">
      <c r="A4" s="4">
        <v>11</v>
      </c>
      <c r="B4" s="4">
        <v>3</v>
      </c>
      <c r="C4" s="4" t="s">
        <v>5</v>
      </c>
      <c r="D4" s="4">
        <v>10</v>
      </c>
      <c r="E4" s="4">
        <v>0</v>
      </c>
      <c r="F4" s="4">
        <v>30</v>
      </c>
    </row>
    <row r="5" spans="1:7" x14ac:dyDescent="0.25">
      <c r="A5" s="4">
        <v>16</v>
      </c>
      <c r="B5" s="4">
        <v>4</v>
      </c>
      <c r="C5" s="4" t="s">
        <v>5</v>
      </c>
      <c r="D5" s="4">
        <v>11</v>
      </c>
      <c r="E5" s="4">
        <v>0</v>
      </c>
      <c r="F5" s="4">
        <v>25</v>
      </c>
    </row>
    <row r="6" spans="1:7" x14ac:dyDescent="0.25">
      <c r="A6" s="4">
        <v>20</v>
      </c>
      <c r="B6" s="4">
        <v>5</v>
      </c>
      <c r="C6" s="4" t="s">
        <v>5</v>
      </c>
      <c r="D6" s="4">
        <v>11</v>
      </c>
      <c r="E6" s="4">
        <v>0</v>
      </c>
      <c r="F6" s="4">
        <v>58</v>
      </c>
    </row>
    <row r="7" spans="1:7" x14ac:dyDescent="0.25">
      <c r="A7" s="4">
        <v>21</v>
      </c>
      <c r="B7" s="4">
        <v>6</v>
      </c>
      <c r="C7" s="4" t="s">
        <v>5</v>
      </c>
      <c r="D7" s="4">
        <v>12</v>
      </c>
      <c r="E7" s="4">
        <v>0</v>
      </c>
      <c r="F7" s="4">
        <v>38</v>
      </c>
    </row>
    <row r="8" spans="1:7" x14ac:dyDescent="0.25">
      <c r="A8" s="4">
        <v>28</v>
      </c>
      <c r="B8" s="4">
        <v>7</v>
      </c>
      <c r="C8" s="4" t="s">
        <v>5</v>
      </c>
      <c r="D8" s="4">
        <v>8</v>
      </c>
      <c r="E8" s="4">
        <v>0</v>
      </c>
      <c r="F8" s="4">
        <v>22</v>
      </c>
    </row>
    <row r="9" spans="1:7" x14ac:dyDescent="0.25">
      <c r="A9" s="4">
        <v>29</v>
      </c>
      <c r="B9" s="4">
        <v>8</v>
      </c>
      <c r="C9" s="4" t="s">
        <v>5</v>
      </c>
      <c r="D9" s="4">
        <v>10</v>
      </c>
      <c r="E9" s="4">
        <v>0</v>
      </c>
      <c r="F9" s="4">
        <v>8</v>
      </c>
    </row>
    <row r="10" spans="1:7" x14ac:dyDescent="0.25">
      <c r="A10" s="4">
        <v>36</v>
      </c>
      <c r="B10" s="4">
        <v>9</v>
      </c>
      <c r="C10" s="4" t="s">
        <v>5</v>
      </c>
      <c r="D10" s="4">
        <v>9</v>
      </c>
      <c r="E10" s="4">
        <v>0</v>
      </c>
      <c r="F10" s="4">
        <v>18</v>
      </c>
    </row>
    <row r="11" spans="1:7" x14ac:dyDescent="0.25">
      <c r="A11" s="4">
        <v>40</v>
      </c>
      <c r="B11" s="4">
        <v>10</v>
      </c>
      <c r="C11" s="4" t="s">
        <v>5</v>
      </c>
      <c r="D11" s="4">
        <v>8</v>
      </c>
      <c r="E11" s="4">
        <v>0</v>
      </c>
      <c r="F11" s="4">
        <v>26</v>
      </c>
    </row>
    <row r="12" spans="1:7" x14ac:dyDescent="0.25">
      <c r="A12" s="4">
        <v>43</v>
      </c>
      <c r="B12" s="4">
        <v>11</v>
      </c>
      <c r="C12" s="4" t="s">
        <v>5</v>
      </c>
      <c r="D12" s="4">
        <v>12</v>
      </c>
      <c r="E12" s="4">
        <v>0</v>
      </c>
      <c r="F12" s="4">
        <v>3</v>
      </c>
    </row>
    <row r="13" spans="1:7" x14ac:dyDescent="0.25">
      <c r="A13" s="4">
        <v>47</v>
      </c>
      <c r="B13" s="4">
        <v>12</v>
      </c>
      <c r="C13" s="4" t="s">
        <v>5</v>
      </c>
      <c r="D13" s="4">
        <v>10</v>
      </c>
      <c r="E13" s="4">
        <v>0</v>
      </c>
      <c r="F13" s="4">
        <v>1</v>
      </c>
    </row>
    <row r="14" spans="1:7" x14ac:dyDescent="0.25">
      <c r="A14" s="4">
        <v>52</v>
      </c>
      <c r="B14" s="4">
        <v>13</v>
      </c>
      <c r="C14" s="4" t="s">
        <v>5</v>
      </c>
      <c r="D14" s="4">
        <v>12</v>
      </c>
      <c r="E14" s="4">
        <v>0</v>
      </c>
      <c r="F14" s="4">
        <v>32</v>
      </c>
    </row>
    <row r="15" spans="1:7" x14ac:dyDescent="0.25">
      <c r="A15" s="4">
        <v>54</v>
      </c>
      <c r="B15" s="4">
        <v>14</v>
      </c>
      <c r="C15" s="4" t="s">
        <v>5</v>
      </c>
      <c r="D15" s="4">
        <v>8</v>
      </c>
      <c r="E15" s="4">
        <v>0</v>
      </c>
      <c r="F15" s="4">
        <v>2</v>
      </c>
    </row>
    <row r="16" spans="1:7" x14ac:dyDescent="0.25">
      <c r="A16" s="4">
        <v>3</v>
      </c>
      <c r="B16" s="4">
        <v>1</v>
      </c>
      <c r="C16" s="4" t="s">
        <v>7</v>
      </c>
      <c r="D16" s="4">
        <v>11</v>
      </c>
      <c r="E16" s="4">
        <v>1</v>
      </c>
      <c r="F16" s="4">
        <v>78</v>
      </c>
    </row>
    <row r="17" spans="1:7" x14ac:dyDescent="0.25">
      <c r="A17" s="4">
        <v>7</v>
      </c>
      <c r="B17" s="4">
        <v>2</v>
      </c>
      <c r="C17" s="4" t="s">
        <v>7</v>
      </c>
      <c r="D17" s="30">
        <v>1</v>
      </c>
      <c r="E17" s="4">
        <v>0</v>
      </c>
      <c r="F17" s="4">
        <v>10</v>
      </c>
    </row>
    <row r="18" spans="1:7" x14ac:dyDescent="0.25">
      <c r="A18" s="4">
        <v>9</v>
      </c>
      <c r="B18" s="4">
        <v>3</v>
      </c>
      <c r="C18" s="4" t="s">
        <v>7</v>
      </c>
      <c r="D18" s="4">
        <v>7</v>
      </c>
      <c r="E18" s="4">
        <v>1</v>
      </c>
      <c r="F18" s="4">
        <v>39</v>
      </c>
    </row>
    <row r="19" spans="1:7" x14ac:dyDescent="0.25">
      <c r="A19" s="4">
        <v>15</v>
      </c>
      <c r="B19" s="4">
        <v>4</v>
      </c>
      <c r="C19" s="4" t="s">
        <v>7</v>
      </c>
      <c r="D19" s="4">
        <v>11</v>
      </c>
      <c r="E19" s="4">
        <v>0</v>
      </c>
      <c r="F19" s="4">
        <v>73</v>
      </c>
    </row>
    <row r="20" spans="1:7" x14ac:dyDescent="0.25">
      <c r="A20" s="4">
        <v>18</v>
      </c>
      <c r="B20" s="4">
        <v>5</v>
      </c>
      <c r="C20" s="4" t="s">
        <v>7</v>
      </c>
      <c r="D20" s="30">
        <v>4</v>
      </c>
      <c r="E20" s="4">
        <v>0</v>
      </c>
      <c r="F20" s="4">
        <v>95</v>
      </c>
    </row>
    <row r="21" spans="1:7" x14ac:dyDescent="0.25">
      <c r="A21" s="4">
        <v>22</v>
      </c>
      <c r="B21" s="4">
        <v>6</v>
      </c>
      <c r="C21" s="4" t="s">
        <v>7</v>
      </c>
      <c r="D21" s="30">
        <v>4</v>
      </c>
      <c r="E21" s="4">
        <v>0</v>
      </c>
      <c r="F21" s="4">
        <v>30</v>
      </c>
    </row>
    <row r="22" spans="1:7" x14ac:dyDescent="0.25">
      <c r="A22" s="4">
        <v>25</v>
      </c>
      <c r="B22" s="4">
        <v>7</v>
      </c>
      <c r="C22" s="4" t="s">
        <v>7</v>
      </c>
      <c r="D22" s="4">
        <v>8</v>
      </c>
      <c r="E22" s="4">
        <v>0</v>
      </c>
      <c r="F22" s="4">
        <v>18</v>
      </c>
    </row>
    <row r="23" spans="1:7" x14ac:dyDescent="0.25">
      <c r="A23" s="4">
        <v>32</v>
      </c>
      <c r="B23" s="4">
        <v>8</v>
      </c>
      <c r="C23" s="4" t="s">
        <v>7</v>
      </c>
      <c r="D23" s="4">
        <v>8</v>
      </c>
      <c r="E23" s="4">
        <v>2</v>
      </c>
      <c r="F23" s="4">
        <v>29</v>
      </c>
    </row>
    <row r="24" spans="1:7" x14ac:dyDescent="0.25">
      <c r="A24" s="4">
        <v>35</v>
      </c>
      <c r="B24" s="4">
        <v>9</v>
      </c>
      <c r="C24" s="4" t="s">
        <v>7</v>
      </c>
      <c r="D24" s="4">
        <v>7</v>
      </c>
      <c r="E24" s="4">
        <v>1</v>
      </c>
      <c r="F24" s="4">
        <v>20</v>
      </c>
    </row>
    <row r="25" spans="1:7" x14ac:dyDescent="0.25">
      <c r="A25" s="4">
        <v>37</v>
      </c>
      <c r="B25" s="4">
        <v>10</v>
      </c>
      <c r="C25" s="4" t="s">
        <v>7</v>
      </c>
      <c r="D25" s="4">
        <v>9</v>
      </c>
      <c r="E25" s="4">
        <v>1</v>
      </c>
      <c r="F25" s="4">
        <v>11</v>
      </c>
    </row>
    <row r="26" spans="1:7" x14ac:dyDescent="0.25">
      <c r="A26" s="4">
        <v>42</v>
      </c>
      <c r="B26" s="4">
        <v>11</v>
      </c>
      <c r="C26" s="4" t="s">
        <v>7</v>
      </c>
      <c r="D26" s="4">
        <v>11</v>
      </c>
      <c r="E26" s="4">
        <v>0</v>
      </c>
      <c r="F26" s="4">
        <v>78</v>
      </c>
    </row>
    <row r="27" spans="1:7" x14ac:dyDescent="0.25">
      <c r="A27" s="4">
        <v>45</v>
      </c>
      <c r="B27" s="4">
        <v>12</v>
      </c>
      <c r="C27" s="4" t="s">
        <v>7</v>
      </c>
      <c r="D27" s="30">
        <v>5</v>
      </c>
      <c r="E27" s="4">
        <v>0</v>
      </c>
      <c r="F27" s="30">
        <v>15</v>
      </c>
    </row>
    <row r="28" spans="1:7" x14ac:dyDescent="0.25">
      <c r="A28" s="4">
        <v>51</v>
      </c>
      <c r="B28" s="4">
        <v>13</v>
      </c>
      <c r="C28" s="4" t="s">
        <v>7</v>
      </c>
      <c r="D28" s="4">
        <v>8</v>
      </c>
      <c r="E28" s="4">
        <v>2</v>
      </c>
      <c r="F28" s="4">
        <v>29</v>
      </c>
      <c r="G28" s="31" t="s">
        <v>233</v>
      </c>
    </row>
    <row r="29" spans="1:7" x14ac:dyDescent="0.25">
      <c r="A29" s="4">
        <v>56</v>
      </c>
      <c r="B29" s="4">
        <v>14</v>
      </c>
      <c r="C29" s="4" t="s">
        <v>7</v>
      </c>
      <c r="D29" s="4">
        <v>11</v>
      </c>
      <c r="E29" s="4">
        <v>0</v>
      </c>
      <c r="F29" s="4">
        <v>39</v>
      </c>
    </row>
    <row r="30" spans="1:7" x14ac:dyDescent="0.25">
      <c r="A30" s="4">
        <v>4</v>
      </c>
      <c r="B30" s="4">
        <v>1</v>
      </c>
      <c r="C30" s="4" t="s">
        <v>8</v>
      </c>
      <c r="D30" s="4">
        <v>9</v>
      </c>
      <c r="E30" s="4">
        <v>2</v>
      </c>
      <c r="F30" s="4">
        <v>0</v>
      </c>
    </row>
    <row r="31" spans="1:7" x14ac:dyDescent="0.25">
      <c r="A31" s="4">
        <v>6</v>
      </c>
      <c r="B31" s="4">
        <v>2</v>
      </c>
      <c r="C31" s="4" t="s">
        <v>8</v>
      </c>
      <c r="D31" s="4">
        <v>10</v>
      </c>
      <c r="E31" s="4">
        <v>1</v>
      </c>
      <c r="F31" s="4">
        <v>1</v>
      </c>
    </row>
    <row r="32" spans="1:7" x14ac:dyDescent="0.25">
      <c r="A32" s="4">
        <v>10</v>
      </c>
      <c r="B32" s="4">
        <v>3</v>
      </c>
      <c r="C32" s="4" t="s">
        <v>8</v>
      </c>
      <c r="D32" s="4">
        <v>10</v>
      </c>
      <c r="E32" s="4">
        <v>0</v>
      </c>
      <c r="F32" s="4">
        <v>0</v>
      </c>
    </row>
    <row r="33" spans="1:6" x14ac:dyDescent="0.25">
      <c r="A33" s="4">
        <v>13</v>
      </c>
      <c r="B33" s="4">
        <v>4</v>
      </c>
      <c r="C33" s="4" t="s">
        <v>8</v>
      </c>
      <c r="D33" s="4">
        <v>12</v>
      </c>
      <c r="E33" s="4">
        <v>0</v>
      </c>
      <c r="F33" s="4">
        <v>2</v>
      </c>
    </row>
    <row r="34" spans="1:6" x14ac:dyDescent="0.25">
      <c r="A34" s="4">
        <v>19</v>
      </c>
      <c r="B34" s="4">
        <v>5</v>
      </c>
      <c r="C34" s="4" t="s">
        <v>8</v>
      </c>
      <c r="D34" s="4">
        <v>11</v>
      </c>
      <c r="E34" s="4">
        <v>0</v>
      </c>
      <c r="F34" s="4">
        <v>0</v>
      </c>
    </row>
    <row r="35" spans="1:6" x14ac:dyDescent="0.25">
      <c r="A35" s="4">
        <v>23</v>
      </c>
      <c r="B35" s="4">
        <v>6</v>
      </c>
      <c r="C35" s="4" t="s">
        <v>8</v>
      </c>
      <c r="D35" s="4">
        <v>11</v>
      </c>
      <c r="E35" s="4">
        <v>0</v>
      </c>
      <c r="F35" s="4">
        <v>0</v>
      </c>
    </row>
    <row r="36" spans="1:6" x14ac:dyDescent="0.25">
      <c r="A36" s="4">
        <v>27</v>
      </c>
      <c r="B36" s="4">
        <v>7</v>
      </c>
      <c r="C36" s="4" t="s">
        <v>8</v>
      </c>
      <c r="D36" s="4">
        <v>12</v>
      </c>
      <c r="E36" s="4">
        <v>0</v>
      </c>
      <c r="F36" s="4">
        <v>0</v>
      </c>
    </row>
    <row r="37" spans="1:6" x14ac:dyDescent="0.25">
      <c r="A37" s="4">
        <v>30</v>
      </c>
      <c r="B37" s="4">
        <v>8</v>
      </c>
      <c r="C37" s="4" t="s">
        <v>8</v>
      </c>
      <c r="D37" s="4">
        <v>12</v>
      </c>
      <c r="E37" s="4">
        <v>0</v>
      </c>
      <c r="F37" s="4">
        <v>3</v>
      </c>
    </row>
    <row r="38" spans="1:6" x14ac:dyDescent="0.25">
      <c r="A38" s="4">
        <v>33</v>
      </c>
      <c r="B38" s="4">
        <v>9</v>
      </c>
      <c r="C38" s="4" t="s">
        <v>8</v>
      </c>
      <c r="D38" s="4">
        <v>9</v>
      </c>
      <c r="E38" s="4">
        <v>2</v>
      </c>
      <c r="F38" s="4">
        <v>0</v>
      </c>
    </row>
    <row r="39" spans="1:6" x14ac:dyDescent="0.25">
      <c r="A39" s="4">
        <v>39</v>
      </c>
      <c r="B39" s="4">
        <v>10</v>
      </c>
      <c r="C39" s="4" t="s">
        <v>8</v>
      </c>
      <c r="D39" s="4">
        <v>12</v>
      </c>
      <c r="E39" s="4">
        <v>0</v>
      </c>
      <c r="F39" s="4">
        <v>0</v>
      </c>
    </row>
    <row r="40" spans="1:6" x14ac:dyDescent="0.25">
      <c r="A40" s="4">
        <v>44</v>
      </c>
      <c r="B40" s="4">
        <v>11</v>
      </c>
      <c r="C40" s="4" t="s">
        <v>8</v>
      </c>
      <c r="D40" s="4">
        <v>11</v>
      </c>
      <c r="E40" s="4">
        <v>0</v>
      </c>
      <c r="F40" s="4">
        <v>0</v>
      </c>
    </row>
    <row r="41" spans="1:6" x14ac:dyDescent="0.25">
      <c r="A41" s="4">
        <v>48</v>
      </c>
      <c r="B41" s="4">
        <v>12</v>
      </c>
      <c r="C41" s="4" t="s">
        <v>8</v>
      </c>
      <c r="D41" s="4">
        <v>8</v>
      </c>
      <c r="E41" s="4">
        <v>0</v>
      </c>
      <c r="F41" s="4">
        <v>0</v>
      </c>
    </row>
    <row r="42" spans="1:6" x14ac:dyDescent="0.25">
      <c r="A42" s="4">
        <v>50</v>
      </c>
      <c r="B42" s="4">
        <v>13</v>
      </c>
      <c r="C42" s="4" t="s">
        <v>8</v>
      </c>
      <c r="D42" s="4">
        <v>8</v>
      </c>
      <c r="E42" s="4">
        <v>2</v>
      </c>
      <c r="F42" s="4">
        <v>0</v>
      </c>
    </row>
    <row r="43" spans="1:6" x14ac:dyDescent="0.25">
      <c r="A43" s="4">
        <v>55</v>
      </c>
      <c r="B43" s="4">
        <v>14</v>
      </c>
      <c r="C43" s="4" t="s">
        <v>8</v>
      </c>
      <c r="D43" s="4">
        <v>11</v>
      </c>
      <c r="E43" s="4">
        <v>0</v>
      </c>
      <c r="F43" s="4">
        <v>2</v>
      </c>
    </row>
  </sheetData>
  <autoFilter ref="A1:G43" xr:uid="{5B44233A-3733-46E7-ACF7-5CEF8112FF42}">
    <sortState xmlns:xlrd2="http://schemas.microsoft.com/office/spreadsheetml/2017/richdata2" ref="A30:G43">
      <sortCondition ref="C1:C43"/>
    </sortState>
  </autoFilter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48B2-42BC-4020-948B-176682B23601}">
  <sheetPr>
    <tabColor theme="8" tint="0.59999389629810485"/>
  </sheetPr>
  <dimension ref="A1:G127"/>
  <sheetViews>
    <sheetView workbookViewId="0">
      <selection activeCell="F35" sqref="F35"/>
    </sheetView>
  </sheetViews>
  <sheetFormatPr defaultRowHeight="15" x14ac:dyDescent="0.25"/>
  <cols>
    <col min="1" max="6" width="8.85546875" style="4"/>
  </cols>
  <sheetData>
    <row r="1" spans="1:6" s="2" customFormat="1" x14ac:dyDescent="0.25">
      <c r="A1" s="1" t="s">
        <v>0</v>
      </c>
      <c r="B1" s="1" t="s">
        <v>1</v>
      </c>
      <c r="C1" s="1" t="s">
        <v>2</v>
      </c>
      <c r="D1" s="1" t="s">
        <v>100</v>
      </c>
      <c r="E1" s="1" t="s">
        <v>101</v>
      </c>
      <c r="F1" s="1" t="s">
        <v>97</v>
      </c>
    </row>
    <row r="2" spans="1:6" x14ac:dyDescent="0.25">
      <c r="A2" s="4">
        <v>1</v>
      </c>
      <c r="B2" s="4">
        <v>1</v>
      </c>
      <c r="C2" s="4" t="s">
        <v>5</v>
      </c>
      <c r="D2" s="4" t="s">
        <v>102</v>
      </c>
      <c r="E2" s="4">
        <v>5</v>
      </c>
      <c r="F2" s="4" t="s">
        <v>231</v>
      </c>
    </row>
    <row r="3" spans="1:6" x14ac:dyDescent="0.25">
      <c r="A3" s="4">
        <v>1</v>
      </c>
      <c r="B3" s="4">
        <v>1</v>
      </c>
      <c r="C3" s="4" t="s">
        <v>5</v>
      </c>
      <c r="D3" s="4" t="s">
        <v>103</v>
      </c>
      <c r="E3" s="4">
        <v>1</v>
      </c>
      <c r="F3" s="4" t="s">
        <v>232</v>
      </c>
    </row>
    <row r="4" spans="1:6" x14ac:dyDescent="0.25">
      <c r="A4" s="4">
        <v>1</v>
      </c>
      <c r="B4" s="4">
        <v>1</v>
      </c>
      <c r="C4" s="4" t="s">
        <v>5</v>
      </c>
      <c r="D4" s="4" t="s">
        <v>104</v>
      </c>
      <c r="E4" s="4">
        <v>5</v>
      </c>
    </row>
    <row r="5" spans="1:6" x14ac:dyDescent="0.25">
      <c r="A5" s="4">
        <v>8</v>
      </c>
      <c r="B5" s="4">
        <v>2</v>
      </c>
      <c r="C5" s="4" t="s">
        <v>5</v>
      </c>
      <c r="D5" s="4" t="s">
        <v>105</v>
      </c>
      <c r="E5" s="4">
        <v>5</v>
      </c>
      <c r="F5" s="4" t="s">
        <v>231</v>
      </c>
    </row>
    <row r="6" spans="1:6" x14ac:dyDescent="0.25">
      <c r="A6" s="4">
        <v>8</v>
      </c>
      <c r="B6" s="4">
        <v>2</v>
      </c>
      <c r="C6" s="4" t="s">
        <v>5</v>
      </c>
      <c r="D6" s="4" t="s">
        <v>106</v>
      </c>
      <c r="E6" s="4">
        <v>1</v>
      </c>
      <c r="F6" s="4" t="s">
        <v>232</v>
      </c>
    </row>
    <row r="7" spans="1:6" x14ac:dyDescent="0.25">
      <c r="A7" s="4">
        <v>8</v>
      </c>
      <c r="B7" s="4">
        <v>2</v>
      </c>
      <c r="C7" s="4" t="s">
        <v>5</v>
      </c>
      <c r="D7" s="4" t="s">
        <v>107</v>
      </c>
      <c r="E7" s="4">
        <v>3</v>
      </c>
    </row>
    <row r="8" spans="1:6" x14ac:dyDescent="0.25">
      <c r="A8" s="4">
        <v>11</v>
      </c>
      <c r="B8" s="4">
        <v>3</v>
      </c>
      <c r="C8" s="4" t="s">
        <v>5</v>
      </c>
      <c r="D8" s="4" t="s">
        <v>108</v>
      </c>
      <c r="E8" s="4">
        <v>5</v>
      </c>
      <c r="F8" s="4" t="s">
        <v>231</v>
      </c>
    </row>
    <row r="9" spans="1:6" x14ac:dyDescent="0.25">
      <c r="A9" s="4">
        <v>11</v>
      </c>
      <c r="B9" s="4">
        <v>3</v>
      </c>
      <c r="C9" s="4" t="s">
        <v>5</v>
      </c>
      <c r="D9" s="4" t="s">
        <v>109</v>
      </c>
      <c r="E9" s="4">
        <v>1</v>
      </c>
      <c r="F9" s="4" t="s">
        <v>232</v>
      </c>
    </row>
    <row r="10" spans="1:6" x14ac:dyDescent="0.25">
      <c r="A10" s="4">
        <v>11</v>
      </c>
      <c r="B10" s="4">
        <v>3</v>
      </c>
      <c r="C10" s="4" t="s">
        <v>5</v>
      </c>
      <c r="D10" s="4" t="s">
        <v>110</v>
      </c>
      <c r="E10" s="4">
        <v>4</v>
      </c>
    </row>
    <row r="11" spans="1:6" x14ac:dyDescent="0.25">
      <c r="A11" s="4">
        <v>16</v>
      </c>
      <c r="B11" s="4">
        <v>4</v>
      </c>
      <c r="C11" s="4" t="s">
        <v>5</v>
      </c>
      <c r="D11" s="4" t="s">
        <v>111</v>
      </c>
      <c r="E11" s="4">
        <v>5</v>
      </c>
      <c r="F11" s="4" t="s">
        <v>231</v>
      </c>
    </row>
    <row r="12" spans="1:6" x14ac:dyDescent="0.25">
      <c r="A12" s="4">
        <v>16</v>
      </c>
      <c r="B12" s="4">
        <v>4</v>
      </c>
      <c r="C12" s="4" t="s">
        <v>5</v>
      </c>
      <c r="D12" s="4" t="s">
        <v>112</v>
      </c>
      <c r="E12" s="4">
        <v>1</v>
      </c>
      <c r="F12" s="4" t="s">
        <v>232</v>
      </c>
    </row>
    <row r="13" spans="1:6" x14ac:dyDescent="0.25">
      <c r="A13" s="4">
        <v>16</v>
      </c>
      <c r="B13" s="4">
        <v>4</v>
      </c>
      <c r="C13" s="4" t="s">
        <v>5</v>
      </c>
      <c r="D13" s="4" t="s">
        <v>113</v>
      </c>
      <c r="E13" s="4">
        <v>5</v>
      </c>
    </row>
    <row r="14" spans="1:6" x14ac:dyDescent="0.25">
      <c r="A14" s="4">
        <v>20</v>
      </c>
      <c r="B14" s="4">
        <v>5</v>
      </c>
      <c r="C14" s="4" t="s">
        <v>5</v>
      </c>
      <c r="D14" s="4" t="s">
        <v>114</v>
      </c>
      <c r="E14" s="4">
        <v>5</v>
      </c>
      <c r="F14" s="4" t="s">
        <v>231</v>
      </c>
    </row>
    <row r="15" spans="1:6" x14ac:dyDescent="0.25">
      <c r="A15" s="4">
        <v>20</v>
      </c>
      <c r="B15" s="4">
        <v>5</v>
      </c>
      <c r="C15" s="4" t="s">
        <v>5</v>
      </c>
      <c r="D15" s="4" t="s">
        <v>115</v>
      </c>
      <c r="E15" s="4">
        <v>1</v>
      </c>
      <c r="F15" s="4" t="s">
        <v>232</v>
      </c>
    </row>
    <row r="16" spans="1:6" x14ac:dyDescent="0.25">
      <c r="A16" s="4">
        <v>20</v>
      </c>
      <c r="B16" s="4">
        <v>5</v>
      </c>
      <c r="C16" s="4" t="s">
        <v>5</v>
      </c>
      <c r="D16" s="4" t="s">
        <v>116</v>
      </c>
      <c r="E16" s="4">
        <v>5</v>
      </c>
    </row>
    <row r="17" spans="1:6" x14ac:dyDescent="0.25">
      <c r="A17" s="4">
        <v>21</v>
      </c>
      <c r="B17" s="4">
        <v>6</v>
      </c>
      <c r="C17" s="4" t="s">
        <v>5</v>
      </c>
      <c r="D17" s="4" t="s">
        <v>117</v>
      </c>
      <c r="E17" s="4">
        <v>5</v>
      </c>
      <c r="F17" s="4" t="s">
        <v>231</v>
      </c>
    </row>
    <row r="18" spans="1:6" x14ac:dyDescent="0.25">
      <c r="A18" s="4">
        <v>21</v>
      </c>
      <c r="B18" s="4">
        <v>6</v>
      </c>
      <c r="C18" s="4" t="s">
        <v>5</v>
      </c>
      <c r="D18" s="4" t="s">
        <v>118</v>
      </c>
      <c r="E18" s="4">
        <v>1</v>
      </c>
      <c r="F18" s="4" t="s">
        <v>232</v>
      </c>
    </row>
    <row r="19" spans="1:6" x14ac:dyDescent="0.25">
      <c r="A19" s="4">
        <v>21</v>
      </c>
      <c r="B19" s="4">
        <v>6</v>
      </c>
      <c r="C19" s="4" t="s">
        <v>5</v>
      </c>
      <c r="D19" s="4" t="s">
        <v>119</v>
      </c>
      <c r="E19" s="4">
        <v>6</v>
      </c>
    </row>
    <row r="20" spans="1:6" x14ac:dyDescent="0.25">
      <c r="A20" s="4">
        <v>28</v>
      </c>
      <c r="B20" s="4">
        <v>7</v>
      </c>
      <c r="C20" s="4" t="s">
        <v>5</v>
      </c>
      <c r="D20" s="4" t="s">
        <v>120</v>
      </c>
      <c r="E20" s="4">
        <v>5</v>
      </c>
      <c r="F20" s="4" t="s">
        <v>231</v>
      </c>
    </row>
    <row r="21" spans="1:6" x14ac:dyDescent="0.25">
      <c r="A21" s="4">
        <v>28</v>
      </c>
      <c r="B21" s="4">
        <v>7</v>
      </c>
      <c r="C21" s="4" t="s">
        <v>5</v>
      </c>
      <c r="D21" s="4" t="s">
        <v>121</v>
      </c>
      <c r="E21" s="4">
        <v>1</v>
      </c>
      <c r="F21" s="4" t="s">
        <v>232</v>
      </c>
    </row>
    <row r="22" spans="1:6" x14ac:dyDescent="0.25">
      <c r="A22" s="4">
        <v>28</v>
      </c>
      <c r="B22" s="4">
        <v>7</v>
      </c>
      <c r="C22" s="4" t="s">
        <v>5</v>
      </c>
      <c r="D22" s="4" t="s">
        <v>122</v>
      </c>
      <c r="E22" s="4">
        <v>2</v>
      </c>
    </row>
    <row r="23" spans="1:6" x14ac:dyDescent="0.25">
      <c r="A23" s="4">
        <v>29</v>
      </c>
      <c r="B23" s="4">
        <v>8</v>
      </c>
      <c r="C23" s="4" t="s">
        <v>5</v>
      </c>
      <c r="D23" s="4" t="s">
        <v>123</v>
      </c>
      <c r="E23" s="4">
        <v>5</v>
      </c>
      <c r="F23" s="4" t="s">
        <v>231</v>
      </c>
    </row>
    <row r="24" spans="1:6" x14ac:dyDescent="0.25">
      <c r="A24" s="4">
        <v>29</v>
      </c>
      <c r="B24" s="4">
        <v>8</v>
      </c>
      <c r="C24" s="4" t="s">
        <v>5</v>
      </c>
      <c r="D24" s="4" t="s">
        <v>124</v>
      </c>
      <c r="E24" s="4">
        <v>1</v>
      </c>
      <c r="F24" s="4" t="s">
        <v>232</v>
      </c>
    </row>
    <row r="25" spans="1:6" x14ac:dyDescent="0.25">
      <c r="A25" s="4">
        <v>29</v>
      </c>
      <c r="B25" s="4">
        <v>8</v>
      </c>
      <c r="C25" s="4" t="s">
        <v>5</v>
      </c>
      <c r="D25" s="4" t="s">
        <v>125</v>
      </c>
      <c r="E25" s="4">
        <v>4</v>
      </c>
    </row>
    <row r="26" spans="1:6" x14ac:dyDescent="0.25">
      <c r="A26" s="4">
        <v>36</v>
      </c>
      <c r="B26" s="4">
        <v>9</v>
      </c>
      <c r="C26" s="4" t="s">
        <v>5</v>
      </c>
      <c r="D26" s="4" t="s">
        <v>126</v>
      </c>
      <c r="E26" s="4">
        <v>5</v>
      </c>
      <c r="F26" s="4" t="s">
        <v>231</v>
      </c>
    </row>
    <row r="27" spans="1:6" x14ac:dyDescent="0.25">
      <c r="A27" s="4">
        <v>36</v>
      </c>
      <c r="B27" s="4">
        <v>9</v>
      </c>
      <c r="C27" s="4" t="s">
        <v>5</v>
      </c>
      <c r="D27" s="4" t="s">
        <v>127</v>
      </c>
      <c r="E27" s="4">
        <v>1</v>
      </c>
      <c r="F27" s="4" t="s">
        <v>232</v>
      </c>
    </row>
    <row r="28" spans="1:6" x14ac:dyDescent="0.25">
      <c r="A28" s="4">
        <v>36</v>
      </c>
      <c r="B28" s="4">
        <v>9</v>
      </c>
      <c r="C28" s="4" t="s">
        <v>5</v>
      </c>
      <c r="D28" s="4" t="s">
        <v>128</v>
      </c>
      <c r="E28" s="4">
        <v>3</v>
      </c>
    </row>
    <row r="29" spans="1:6" x14ac:dyDescent="0.25">
      <c r="A29" s="4">
        <v>40</v>
      </c>
      <c r="B29" s="4">
        <v>10</v>
      </c>
      <c r="C29" s="4" t="s">
        <v>5</v>
      </c>
      <c r="D29" s="4" t="s">
        <v>129</v>
      </c>
      <c r="E29" s="4">
        <v>5</v>
      </c>
      <c r="F29" s="4" t="s">
        <v>231</v>
      </c>
    </row>
    <row r="30" spans="1:6" x14ac:dyDescent="0.25">
      <c r="A30" s="4">
        <v>40</v>
      </c>
      <c r="B30" s="4">
        <v>10</v>
      </c>
      <c r="C30" s="4" t="s">
        <v>5</v>
      </c>
      <c r="D30" s="4" t="s">
        <v>130</v>
      </c>
      <c r="E30" s="4">
        <v>1</v>
      </c>
      <c r="F30" s="4" t="s">
        <v>232</v>
      </c>
    </row>
    <row r="31" spans="1:6" x14ac:dyDescent="0.25">
      <c r="A31" s="4">
        <v>40</v>
      </c>
      <c r="B31" s="4">
        <v>10</v>
      </c>
      <c r="C31" s="4" t="s">
        <v>5</v>
      </c>
      <c r="D31" s="4" t="s">
        <v>131</v>
      </c>
      <c r="E31" s="4">
        <v>2</v>
      </c>
    </row>
    <row r="32" spans="1:6" x14ac:dyDescent="0.25">
      <c r="A32" s="4">
        <v>43</v>
      </c>
      <c r="B32" s="4">
        <v>11</v>
      </c>
      <c r="C32" s="4" t="s">
        <v>5</v>
      </c>
      <c r="D32" s="4" t="s">
        <v>132</v>
      </c>
      <c r="E32" s="4">
        <v>5</v>
      </c>
      <c r="F32" s="4" t="s">
        <v>231</v>
      </c>
    </row>
    <row r="33" spans="1:7" x14ac:dyDescent="0.25">
      <c r="A33" s="4">
        <v>43</v>
      </c>
      <c r="B33" s="4">
        <v>11</v>
      </c>
      <c r="C33" s="4" t="s">
        <v>5</v>
      </c>
      <c r="D33" s="4" t="s">
        <v>133</v>
      </c>
      <c r="E33" s="4">
        <v>1</v>
      </c>
      <c r="F33" s="4" t="s">
        <v>232</v>
      </c>
    </row>
    <row r="34" spans="1:7" x14ac:dyDescent="0.25">
      <c r="A34" s="4">
        <v>43</v>
      </c>
      <c r="B34" s="4">
        <v>11</v>
      </c>
      <c r="C34" s="4" t="s">
        <v>5</v>
      </c>
      <c r="D34" s="4" t="s">
        <v>134</v>
      </c>
      <c r="E34" s="4">
        <v>6</v>
      </c>
    </row>
    <row r="35" spans="1:7" x14ac:dyDescent="0.25">
      <c r="A35" s="4">
        <v>47</v>
      </c>
      <c r="B35" s="4">
        <v>12</v>
      </c>
      <c r="C35" s="4" t="s">
        <v>5</v>
      </c>
      <c r="D35" s="4" t="s">
        <v>135</v>
      </c>
      <c r="E35" s="4">
        <v>5</v>
      </c>
      <c r="F35" s="4" t="s">
        <v>233</v>
      </c>
    </row>
    <row r="36" spans="1:7" x14ac:dyDescent="0.25">
      <c r="A36" s="4">
        <v>47</v>
      </c>
      <c r="B36" s="4">
        <v>12</v>
      </c>
      <c r="C36" s="4" t="s">
        <v>5</v>
      </c>
      <c r="D36" s="4" t="s">
        <v>136</v>
      </c>
      <c r="E36" s="4">
        <v>1</v>
      </c>
      <c r="F36" s="4" t="s">
        <v>232</v>
      </c>
    </row>
    <row r="37" spans="1:7" x14ac:dyDescent="0.25">
      <c r="A37" s="4">
        <v>47</v>
      </c>
      <c r="B37" s="4">
        <v>12</v>
      </c>
      <c r="C37" s="4" t="s">
        <v>5</v>
      </c>
      <c r="D37" s="4" t="s">
        <v>137</v>
      </c>
      <c r="E37" s="4">
        <v>3</v>
      </c>
    </row>
    <row r="38" spans="1:7" x14ac:dyDescent="0.25">
      <c r="A38" s="4">
        <v>52</v>
      </c>
      <c r="B38" s="4">
        <v>13</v>
      </c>
      <c r="C38" s="4" t="s">
        <v>5</v>
      </c>
      <c r="D38" s="4" t="s">
        <v>138</v>
      </c>
      <c r="E38" s="4">
        <v>5</v>
      </c>
      <c r="F38" s="4" t="s">
        <v>231</v>
      </c>
    </row>
    <row r="39" spans="1:7" x14ac:dyDescent="0.25">
      <c r="A39" s="4">
        <v>52</v>
      </c>
      <c r="B39" s="4">
        <v>13</v>
      </c>
      <c r="C39" s="4" t="s">
        <v>5</v>
      </c>
      <c r="D39" s="4" t="s">
        <v>139</v>
      </c>
      <c r="E39" s="4">
        <v>1</v>
      </c>
      <c r="F39" s="4" t="s">
        <v>232</v>
      </c>
    </row>
    <row r="40" spans="1:7" x14ac:dyDescent="0.25">
      <c r="A40" s="4">
        <v>52</v>
      </c>
      <c r="B40" s="4">
        <v>13</v>
      </c>
      <c r="C40" s="4" t="s">
        <v>5</v>
      </c>
      <c r="D40" s="4" t="s">
        <v>140</v>
      </c>
      <c r="E40" s="4">
        <v>4</v>
      </c>
    </row>
    <row r="41" spans="1:7" x14ac:dyDescent="0.25">
      <c r="A41" s="4">
        <v>54</v>
      </c>
      <c r="B41" s="4">
        <v>14</v>
      </c>
      <c r="C41" s="4" t="s">
        <v>5</v>
      </c>
      <c r="D41" s="4" t="s">
        <v>141</v>
      </c>
      <c r="E41" s="4">
        <v>5</v>
      </c>
      <c r="F41" s="4" t="s">
        <v>233</v>
      </c>
    </row>
    <row r="42" spans="1:7" x14ac:dyDescent="0.25">
      <c r="A42" s="4">
        <v>54</v>
      </c>
      <c r="B42" s="4">
        <v>14</v>
      </c>
      <c r="C42" s="4" t="s">
        <v>5</v>
      </c>
      <c r="D42" s="4" t="s">
        <v>142</v>
      </c>
      <c r="E42" s="4">
        <v>1</v>
      </c>
      <c r="F42" s="4" t="s">
        <v>232</v>
      </c>
    </row>
    <row r="43" spans="1:7" x14ac:dyDescent="0.25">
      <c r="A43" s="4">
        <v>54</v>
      </c>
      <c r="B43" s="4">
        <v>14</v>
      </c>
      <c r="C43" s="4" t="s">
        <v>5</v>
      </c>
      <c r="D43" s="4" t="s">
        <v>143</v>
      </c>
      <c r="E43" s="4">
        <v>1</v>
      </c>
    </row>
    <row r="44" spans="1:7" x14ac:dyDescent="0.25">
      <c r="A44" s="4">
        <v>3</v>
      </c>
      <c r="B44" s="4">
        <v>1</v>
      </c>
      <c r="C44" s="4" t="s">
        <v>7</v>
      </c>
      <c r="D44" s="4" t="s">
        <v>144</v>
      </c>
      <c r="E44" s="4">
        <v>5</v>
      </c>
      <c r="F44" s="4" t="s">
        <v>231</v>
      </c>
    </row>
    <row r="45" spans="1:7" x14ac:dyDescent="0.25">
      <c r="A45" s="4">
        <v>3</v>
      </c>
      <c r="B45" s="4">
        <v>1</v>
      </c>
      <c r="C45" s="4" t="s">
        <v>7</v>
      </c>
      <c r="D45" s="4" t="s">
        <v>145</v>
      </c>
      <c r="E45" s="4">
        <v>1</v>
      </c>
      <c r="F45" s="4" t="s">
        <v>232</v>
      </c>
    </row>
    <row r="46" spans="1:7" x14ac:dyDescent="0.25">
      <c r="A46" s="4">
        <v>3</v>
      </c>
      <c r="B46" s="4">
        <v>1</v>
      </c>
      <c r="C46" s="4" t="s">
        <v>7</v>
      </c>
      <c r="D46" s="4" t="s">
        <v>146</v>
      </c>
      <c r="E46" s="4">
        <v>5</v>
      </c>
    </row>
    <row r="47" spans="1:7" x14ac:dyDescent="0.25">
      <c r="A47" s="4">
        <v>7</v>
      </c>
      <c r="B47" s="4">
        <v>2</v>
      </c>
      <c r="C47" s="4" t="s">
        <v>7</v>
      </c>
      <c r="D47" s="4" t="s">
        <v>147</v>
      </c>
      <c r="E47" s="4">
        <v>0</v>
      </c>
    </row>
    <row r="48" spans="1:7" x14ac:dyDescent="0.25">
      <c r="A48" s="4">
        <v>7</v>
      </c>
      <c r="B48" s="4">
        <v>2</v>
      </c>
      <c r="C48" s="4" t="s">
        <v>7</v>
      </c>
      <c r="D48" s="4" t="s">
        <v>148</v>
      </c>
      <c r="E48" s="4">
        <v>1</v>
      </c>
      <c r="F48" s="4" t="s">
        <v>232</v>
      </c>
      <c r="G48" s="20" t="s">
        <v>234</v>
      </c>
    </row>
    <row r="49" spans="1:6" x14ac:dyDescent="0.25">
      <c r="A49" s="4">
        <v>7</v>
      </c>
      <c r="B49" s="4">
        <v>2</v>
      </c>
      <c r="C49" s="4" t="s">
        <v>7</v>
      </c>
      <c r="D49" s="4" t="s">
        <v>149</v>
      </c>
      <c r="E49" s="4">
        <v>0</v>
      </c>
    </row>
    <row r="50" spans="1:6" x14ac:dyDescent="0.25">
      <c r="A50" s="4">
        <v>9</v>
      </c>
      <c r="B50" s="4">
        <v>3</v>
      </c>
      <c r="C50" s="4" t="s">
        <v>7</v>
      </c>
      <c r="D50" s="4" t="s">
        <v>150</v>
      </c>
      <c r="E50" s="4">
        <v>5</v>
      </c>
      <c r="F50" s="4" t="s">
        <v>231</v>
      </c>
    </row>
    <row r="51" spans="1:6" x14ac:dyDescent="0.25">
      <c r="A51" s="4">
        <v>9</v>
      </c>
      <c r="B51" s="4">
        <v>3</v>
      </c>
      <c r="C51" s="4" t="s">
        <v>7</v>
      </c>
      <c r="D51" s="4" t="s">
        <v>151</v>
      </c>
      <c r="E51" s="4">
        <v>1</v>
      </c>
      <c r="F51" s="4" t="s">
        <v>232</v>
      </c>
    </row>
    <row r="52" spans="1:6" x14ac:dyDescent="0.25">
      <c r="A52" s="4">
        <v>9</v>
      </c>
      <c r="B52" s="4">
        <v>3</v>
      </c>
      <c r="C52" s="4" t="s">
        <v>7</v>
      </c>
      <c r="D52" s="4" t="s">
        <v>152</v>
      </c>
      <c r="E52" s="4">
        <v>1</v>
      </c>
    </row>
    <row r="53" spans="1:6" x14ac:dyDescent="0.25">
      <c r="A53" s="4">
        <v>15</v>
      </c>
      <c r="B53" s="4">
        <v>4</v>
      </c>
      <c r="C53" s="4" t="s">
        <v>7</v>
      </c>
      <c r="D53" s="4" t="s">
        <v>153</v>
      </c>
      <c r="E53" s="4">
        <v>5</v>
      </c>
      <c r="F53" s="4" t="s">
        <v>231</v>
      </c>
    </row>
    <row r="54" spans="1:6" x14ac:dyDescent="0.25">
      <c r="A54" s="4">
        <v>15</v>
      </c>
      <c r="B54" s="4">
        <v>4</v>
      </c>
      <c r="C54" s="4" t="s">
        <v>7</v>
      </c>
      <c r="D54" s="4" t="s">
        <v>154</v>
      </c>
      <c r="E54" s="4">
        <v>1</v>
      </c>
      <c r="F54" s="4" t="s">
        <v>232</v>
      </c>
    </row>
    <row r="55" spans="1:6" x14ac:dyDescent="0.25">
      <c r="A55" s="4">
        <v>15</v>
      </c>
      <c r="B55" s="4">
        <v>4</v>
      </c>
      <c r="C55" s="4" t="s">
        <v>7</v>
      </c>
      <c r="D55" s="4" t="s">
        <v>155</v>
      </c>
      <c r="E55" s="4">
        <v>5</v>
      </c>
    </row>
    <row r="56" spans="1:6" x14ac:dyDescent="0.25">
      <c r="A56" s="30">
        <v>18</v>
      </c>
      <c r="B56" s="30">
        <v>5</v>
      </c>
      <c r="C56" s="30" t="s">
        <v>7</v>
      </c>
      <c r="D56" s="30" t="s">
        <v>156</v>
      </c>
      <c r="E56" s="30">
        <v>5</v>
      </c>
      <c r="F56" s="30" t="s">
        <v>231</v>
      </c>
    </row>
    <row r="57" spans="1:6" x14ac:dyDescent="0.25">
      <c r="A57" s="30">
        <v>18</v>
      </c>
      <c r="B57" s="30">
        <v>5</v>
      </c>
      <c r="C57" s="30" t="s">
        <v>7</v>
      </c>
      <c r="D57" s="30" t="s">
        <v>157</v>
      </c>
      <c r="E57" s="30">
        <v>1</v>
      </c>
      <c r="F57" s="30" t="s">
        <v>232</v>
      </c>
    </row>
    <row r="58" spans="1:6" x14ac:dyDescent="0.25">
      <c r="A58" s="30">
        <v>18</v>
      </c>
      <c r="B58" s="30">
        <v>5</v>
      </c>
      <c r="C58" s="30" t="s">
        <v>7</v>
      </c>
      <c r="D58" s="30" t="s">
        <v>158</v>
      </c>
      <c r="E58" s="30">
        <v>0</v>
      </c>
      <c r="F58" s="30"/>
    </row>
    <row r="59" spans="1:6" x14ac:dyDescent="0.25">
      <c r="A59" s="4">
        <v>22</v>
      </c>
      <c r="B59" s="4">
        <v>6</v>
      </c>
      <c r="C59" s="4" t="s">
        <v>7</v>
      </c>
      <c r="D59" s="4" t="s">
        <v>159</v>
      </c>
      <c r="E59" s="4">
        <v>5</v>
      </c>
      <c r="F59" s="4" t="s">
        <v>231</v>
      </c>
    </row>
    <row r="60" spans="1:6" x14ac:dyDescent="0.25">
      <c r="A60" s="4">
        <v>22</v>
      </c>
      <c r="B60" s="4">
        <v>6</v>
      </c>
      <c r="C60" s="4" t="s">
        <v>7</v>
      </c>
      <c r="D60" s="4" t="s">
        <v>160</v>
      </c>
      <c r="E60" s="4">
        <v>1</v>
      </c>
      <c r="F60" s="4" t="s">
        <v>232</v>
      </c>
    </row>
    <row r="61" spans="1:6" x14ac:dyDescent="0.25">
      <c r="A61" s="4">
        <v>22</v>
      </c>
      <c r="B61" s="4">
        <v>6</v>
      </c>
      <c r="C61" s="4" t="s">
        <v>7</v>
      </c>
      <c r="D61" s="4" t="s">
        <v>161</v>
      </c>
      <c r="E61" s="4">
        <v>1</v>
      </c>
    </row>
    <row r="62" spans="1:6" x14ac:dyDescent="0.25">
      <c r="A62" s="30">
        <v>25</v>
      </c>
      <c r="B62" s="30">
        <v>7</v>
      </c>
      <c r="C62" s="30" t="s">
        <v>7</v>
      </c>
      <c r="D62" s="30" t="s">
        <v>162</v>
      </c>
      <c r="E62" s="30">
        <v>5</v>
      </c>
      <c r="F62" s="30" t="s">
        <v>231</v>
      </c>
    </row>
    <row r="63" spans="1:6" x14ac:dyDescent="0.25">
      <c r="A63" s="30">
        <v>25</v>
      </c>
      <c r="B63" s="30">
        <v>7</v>
      </c>
      <c r="C63" s="30" t="s">
        <v>7</v>
      </c>
      <c r="D63" s="30" t="s">
        <v>163</v>
      </c>
      <c r="E63" s="30">
        <v>1</v>
      </c>
      <c r="F63" s="30" t="s">
        <v>232</v>
      </c>
    </row>
    <row r="64" spans="1:6" x14ac:dyDescent="0.25">
      <c r="A64" s="30">
        <v>25</v>
      </c>
      <c r="B64" s="30">
        <v>7</v>
      </c>
      <c r="C64" s="30" t="s">
        <v>7</v>
      </c>
      <c r="D64" s="30" t="s">
        <v>164</v>
      </c>
      <c r="E64" s="30">
        <v>2</v>
      </c>
      <c r="F64" s="30"/>
    </row>
    <row r="65" spans="1:7" x14ac:dyDescent="0.25">
      <c r="A65" s="4">
        <v>32</v>
      </c>
      <c r="B65" s="4">
        <v>8</v>
      </c>
      <c r="C65" s="4" t="s">
        <v>7</v>
      </c>
      <c r="D65" s="4" t="s">
        <v>165</v>
      </c>
      <c r="E65" s="4">
        <v>5</v>
      </c>
      <c r="F65" s="4" t="s">
        <v>231</v>
      </c>
    </row>
    <row r="66" spans="1:7" x14ac:dyDescent="0.25">
      <c r="A66" s="4">
        <v>32</v>
      </c>
      <c r="B66" s="4">
        <v>8</v>
      </c>
      <c r="C66" s="4" t="s">
        <v>7</v>
      </c>
      <c r="D66" s="4" t="s">
        <v>166</v>
      </c>
      <c r="E66" s="4">
        <v>1</v>
      </c>
      <c r="F66" s="4" t="s">
        <v>232</v>
      </c>
    </row>
    <row r="67" spans="1:7" x14ac:dyDescent="0.25">
      <c r="A67" s="4">
        <v>32</v>
      </c>
      <c r="B67" s="4">
        <v>8</v>
      </c>
      <c r="C67" s="4" t="s">
        <v>7</v>
      </c>
      <c r="D67" s="4" t="s">
        <v>167</v>
      </c>
      <c r="E67" s="4">
        <v>2</v>
      </c>
    </row>
    <row r="68" spans="1:7" x14ac:dyDescent="0.25">
      <c r="A68" s="4">
        <v>35</v>
      </c>
      <c r="B68" s="4">
        <v>9</v>
      </c>
      <c r="C68" s="4" t="s">
        <v>7</v>
      </c>
      <c r="D68" s="4" t="s">
        <v>168</v>
      </c>
      <c r="E68" s="4">
        <v>5</v>
      </c>
      <c r="F68" s="4" t="s">
        <v>231</v>
      </c>
    </row>
    <row r="69" spans="1:7" x14ac:dyDescent="0.25">
      <c r="A69" s="4">
        <v>35</v>
      </c>
      <c r="B69" s="4">
        <v>9</v>
      </c>
      <c r="C69" s="4" t="s">
        <v>7</v>
      </c>
      <c r="D69" s="4" t="s">
        <v>169</v>
      </c>
      <c r="E69" s="4">
        <v>1</v>
      </c>
      <c r="F69" s="4" t="s">
        <v>232</v>
      </c>
    </row>
    <row r="70" spans="1:7" x14ac:dyDescent="0.25">
      <c r="A70" s="4">
        <v>35</v>
      </c>
      <c r="B70" s="4">
        <v>9</v>
      </c>
      <c r="C70" s="4" t="s">
        <v>7</v>
      </c>
      <c r="D70" s="4" t="s">
        <v>170</v>
      </c>
      <c r="E70" s="4">
        <v>0</v>
      </c>
    </row>
    <row r="71" spans="1:7" x14ac:dyDescent="0.25">
      <c r="A71" s="4">
        <v>37</v>
      </c>
      <c r="B71" s="4">
        <v>10</v>
      </c>
      <c r="C71" s="4" t="s">
        <v>7</v>
      </c>
      <c r="D71" s="4" t="s">
        <v>171</v>
      </c>
      <c r="E71" s="4">
        <v>5</v>
      </c>
      <c r="F71" s="4" t="s">
        <v>231</v>
      </c>
    </row>
    <row r="72" spans="1:7" x14ac:dyDescent="0.25">
      <c r="A72" s="4">
        <v>37</v>
      </c>
      <c r="B72" s="4">
        <v>10</v>
      </c>
      <c r="C72" s="4" t="s">
        <v>7</v>
      </c>
      <c r="D72" s="4" t="s">
        <v>172</v>
      </c>
      <c r="E72" s="4">
        <v>1</v>
      </c>
      <c r="F72" s="4" t="s">
        <v>232</v>
      </c>
    </row>
    <row r="73" spans="1:7" x14ac:dyDescent="0.25">
      <c r="A73" s="4">
        <v>37</v>
      </c>
      <c r="B73" s="4">
        <v>10</v>
      </c>
      <c r="C73" s="4" t="s">
        <v>7</v>
      </c>
      <c r="D73" s="4" t="s">
        <v>173</v>
      </c>
      <c r="E73" s="4">
        <v>3</v>
      </c>
    </row>
    <row r="74" spans="1:7" x14ac:dyDescent="0.25">
      <c r="A74" s="4">
        <v>42</v>
      </c>
      <c r="B74" s="4">
        <v>11</v>
      </c>
      <c r="C74" s="4" t="s">
        <v>7</v>
      </c>
      <c r="D74" s="4" t="s">
        <v>174</v>
      </c>
      <c r="E74" s="4">
        <v>5</v>
      </c>
      <c r="F74" s="4" t="s">
        <v>231</v>
      </c>
    </row>
    <row r="75" spans="1:7" x14ac:dyDescent="0.25">
      <c r="A75" s="4">
        <v>42</v>
      </c>
      <c r="B75" s="4">
        <v>11</v>
      </c>
      <c r="C75" s="4" t="s">
        <v>7</v>
      </c>
      <c r="D75" s="4" t="s">
        <v>175</v>
      </c>
      <c r="E75" s="4">
        <v>1</v>
      </c>
      <c r="F75" s="4" t="s">
        <v>232</v>
      </c>
    </row>
    <row r="76" spans="1:7" x14ac:dyDescent="0.25">
      <c r="A76" s="4">
        <v>42</v>
      </c>
      <c r="B76" s="4">
        <v>11</v>
      </c>
      <c r="C76" s="4" t="s">
        <v>7</v>
      </c>
      <c r="D76" s="4" t="s">
        <v>176</v>
      </c>
      <c r="E76" s="4">
        <v>5</v>
      </c>
    </row>
    <row r="77" spans="1:7" x14ac:dyDescent="0.25">
      <c r="A77" s="4">
        <v>45</v>
      </c>
      <c r="B77" s="4">
        <v>12</v>
      </c>
      <c r="C77" s="4" t="s">
        <v>7</v>
      </c>
      <c r="D77" s="4" t="s">
        <v>177</v>
      </c>
      <c r="E77" s="4">
        <v>4</v>
      </c>
      <c r="G77" t="s">
        <v>234</v>
      </c>
    </row>
    <row r="78" spans="1:7" x14ac:dyDescent="0.25">
      <c r="A78" s="4">
        <v>45</v>
      </c>
      <c r="B78" s="4">
        <v>12</v>
      </c>
      <c r="C78" s="4" t="s">
        <v>7</v>
      </c>
      <c r="D78" s="4" t="s">
        <v>178</v>
      </c>
      <c r="E78" s="4">
        <v>1</v>
      </c>
      <c r="F78" s="4" t="s">
        <v>232</v>
      </c>
    </row>
    <row r="79" spans="1:7" x14ac:dyDescent="0.25">
      <c r="A79" s="4">
        <v>45</v>
      </c>
      <c r="B79" s="4">
        <v>12</v>
      </c>
      <c r="C79" s="4" t="s">
        <v>7</v>
      </c>
      <c r="D79" s="4" t="s">
        <v>179</v>
      </c>
      <c r="E79" s="4">
        <v>0</v>
      </c>
    </row>
    <row r="80" spans="1:7" x14ac:dyDescent="0.25">
      <c r="A80" s="4">
        <v>51</v>
      </c>
      <c r="B80" s="4">
        <v>13</v>
      </c>
      <c r="C80" s="4" t="s">
        <v>7</v>
      </c>
      <c r="D80" s="4" t="s">
        <v>180</v>
      </c>
      <c r="E80" s="4">
        <v>5</v>
      </c>
      <c r="F80" s="4" t="s">
        <v>233</v>
      </c>
    </row>
    <row r="81" spans="1:6" x14ac:dyDescent="0.25">
      <c r="A81" s="4">
        <v>51</v>
      </c>
      <c r="B81" s="4">
        <v>13</v>
      </c>
      <c r="C81" s="4" t="s">
        <v>7</v>
      </c>
      <c r="D81" s="4" t="s">
        <v>181</v>
      </c>
      <c r="E81" s="4">
        <v>1</v>
      </c>
      <c r="F81" s="4" t="s">
        <v>232</v>
      </c>
    </row>
    <row r="82" spans="1:6" x14ac:dyDescent="0.25">
      <c r="A82" s="4">
        <v>51</v>
      </c>
      <c r="B82" s="4">
        <v>13</v>
      </c>
      <c r="C82" s="4" t="s">
        <v>7</v>
      </c>
      <c r="D82" s="4" t="s">
        <v>182</v>
      </c>
      <c r="E82" s="4">
        <v>2</v>
      </c>
    </row>
    <row r="83" spans="1:6" x14ac:dyDescent="0.25">
      <c r="A83" s="4">
        <v>56</v>
      </c>
      <c r="B83" s="4">
        <v>14</v>
      </c>
      <c r="C83" s="4" t="s">
        <v>7</v>
      </c>
      <c r="D83" s="4" t="s">
        <v>183</v>
      </c>
      <c r="E83" s="4">
        <v>5</v>
      </c>
      <c r="F83" s="4" t="s">
        <v>231</v>
      </c>
    </row>
    <row r="84" spans="1:6" x14ac:dyDescent="0.25">
      <c r="A84" s="4">
        <v>56</v>
      </c>
      <c r="B84" s="4">
        <v>14</v>
      </c>
      <c r="C84" s="4" t="s">
        <v>7</v>
      </c>
      <c r="D84" s="4" t="s">
        <v>184</v>
      </c>
      <c r="E84" s="4">
        <v>1</v>
      </c>
      <c r="F84" s="4" t="s">
        <v>232</v>
      </c>
    </row>
    <row r="85" spans="1:6" x14ac:dyDescent="0.25">
      <c r="A85" s="4">
        <v>56</v>
      </c>
      <c r="B85" s="4">
        <v>14</v>
      </c>
      <c r="C85" s="4" t="s">
        <v>7</v>
      </c>
      <c r="D85" s="4" t="s">
        <v>185</v>
      </c>
      <c r="E85" s="4">
        <v>5</v>
      </c>
    </row>
    <row r="86" spans="1:6" x14ac:dyDescent="0.25">
      <c r="A86" s="4">
        <v>4</v>
      </c>
      <c r="B86" s="4">
        <v>1</v>
      </c>
      <c r="C86" s="4" t="s">
        <v>8</v>
      </c>
      <c r="D86" s="4" t="s">
        <v>186</v>
      </c>
      <c r="E86" s="4">
        <v>5</v>
      </c>
      <c r="F86" s="4" t="s">
        <v>231</v>
      </c>
    </row>
    <row r="87" spans="1:6" x14ac:dyDescent="0.25">
      <c r="A87" s="4">
        <v>4</v>
      </c>
      <c r="B87" s="4">
        <v>1</v>
      </c>
      <c r="C87" s="4" t="s">
        <v>8</v>
      </c>
      <c r="D87" s="4" t="s">
        <v>187</v>
      </c>
      <c r="E87" s="4">
        <v>1</v>
      </c>
      <c r="F87" s="4" t="s">
        <v>232</v>
      </c>
    </row>
    <row r="88" spans="1:6" x14ac:dyDescent="0.25">
      <c r="A88" s="4">
        <v>4</v>
      </c>
      <c r="B88" s="4">
        <v>1</v>
      </c>
      <c r="C88" s="4" t="s">
        <v>8</v>
      </c>
      <c r="D88" s="4" t="s">
        <v>188</v>
      </c>
      <c r="E88" s="4">
        <v>3</v>
      </c>
    </row>
    <row r="89" spans="1:6" x14ac:dyDescent="0.25">
      <c r="A89" s="4">
        <v>6</v>
      </c>
      <c r="B89" s="4">
        <v>2</v>
      </c>
      <c r="C89" s="4" t="s">
        <v>8</v>
      </c>
      <c r="D89" s="4" t="s">
        <v>189</v>
      </c>
      <c r="E89" s="4">
        <v>5</v>
      </c>
      <c r="F89" s="4" t="s">
        <v>231</v>
      </c>
    </row>
    <row r="90" spans="1:6" x14ac:dyDescent="0.25">
      <c r="A90" s="4">
        <v>6</v>
      </c>
      <c r="B90" s="4">
        <v>2</v>
      </c>
      <c r="C90" s="4" t="s">
        <v>8</v>
      </c>
      <c r="D90" s="4" t="s">
        <v>190</v>
      </c>
      <c r="E90" s="4">
        <v>1</v>
      </c>
      <c r="F90" s="4" t="s">
        <v>232</v>
      </c>
    </row>
    <row r="91" spans="1:6" x14ac:dyDescent="0.25">
      <c r="A91" s="4">
        <v>6</v>
      </c>
      <c r="B91" s="4">
        <v>2</v>
      </c>
      <c r="C91" s="4" t="s">
        <v>8</v>
      </c>
      <c r="D91" s="4" t="s">
        <v>191</v>
      </c>
      <c r="E91" s="4">
        <v>4</v>
      </c>
    </row>
    <row r="92" spans="1:6" x14ac:dyDescent="0.25">
      <c r="A92" s="4">
        <v>10</v>
      </c>
      <c r="B92" s="4">
        <v>3</v>
      </c>
      <c r="C92" s="4" t="s">
        <v>8</v>
      </c>
      <c r="D92" s="4" t="s">
        <v>192</v>
      </c>
      <c r="E92" s="4">
        <v>5</v>
      </c>
      <c r="F92" s="4" t="s">
        <v>231</v>
      </c>
    </row>
    <row r="93" spans="1:6" x14ac:dyDescent="0.25">
      <c r="A93" s="4">
        <v>10</v>
      </c>
      <c r="B93" s="4">
        <v>3</v>
      </c>
      <c r="C93" s="4" t="s">
        <v>8</v>
      </c>
      <c r="D93" s="4" t="s">
        <v>193</v>
      </c>
      <c r="E93" s="4">
        <v>1</v>
      </c>
      <c r="F93" s="4" t="s">
        <v>232</v>
      </c>
    </row>
    <row r="94" spans="1:6" x14ac:dyDescent="0.25">
      <c r="A94" s="4">
        <v>10</v>
      </c>
      <c r="B94" s="4">
        <v>3</v>
      </c>
      <c r="C94" s="4" t="s">
        <v>8</v>
      </c>
      <c r="D94" s="4" t="s">
        <v>194</v>
      </c>
      <c r="E94" s="4">
        <v>4</v>
      </c>
    </row>
    <row r="95" spans="1:6" x14ac:dyDescent="0.25">
      <c r="A95" s="4">
        <v>13</v>
      </c>
      <c r="B95" s="4">
        <v>4</v>
      </c>
      <c r="C95" s="4" t="s">
        <v>8</v>
      </c>
      <c r="D95" s="4" t="s">
        <v>195</v>
      </c>
      <c r="E95" s="4">
        <v>5</v>
      </c>
      <c r="F95" s="4" t="s">
        <v>231</v>
      </c>
    </row>
    <row r="96" spans="1:6" x14ac:dyDescent="0.25">
      <c r="A96" s="4">
        <v>13</v>
      </c>
      <c r="B96" s="4">
        <v>4</v>
      </c>
      <c r="C96" s="4" t="s">
        <v>8</v>
      </c>
      <c r="D96" s="4" t="s">
        <v>196</v>
      </c>
      <c r="E96" s="4">
        <v>1</v>
      </c>
      <c r="F96" s="4" t="s">
        <v>232</v>
      </c>
    </row>
    <row r="97" spans="1:6" x14ac:dyDescent="0.25">
      <c r="A97" s="4">
        <v>13</v>
      </c>
      <c r="B97" s="4">
        <v>4</v>
      </c>
      <c r="C97" s="4" t="s">
        <v>8</v>
      </c>
      <c r="D97" s="4" t="s">
        <v>197</v>
      </c>
      <c r="E97" s="4">
        <v>6</v>
      </c>
    </row>
    <row r="98" spans="1:6" x14ac:dyDescent="0.25">
      <c r="A98" s="4">
        <v>19</v>
      </c>
      <c r="B98" s="4">
        <v>5</v>
      </c>
      <c r="C98" s="4" t="s">
        <v>8</v>
      </c>
      <c r="D98" s="4" t="s">
        <v>198</v>
      </c>
      <c r="E98" s="4">
        <v>5</v>
      </c>
      <c r="F98" s="4" t="s">
        <v>231</v>
      </c>
    </row>
    <row r="99" spans="1:6" x14ac:dyDescent="0.25">
      <c r="A99" s="4">
        <v>19</v>
      </c>
      <c r="B99" s="4">
        <v>5</v>
      </c>
      <c r="C99" s="4" t="s">
        <v>8</v>
      </c>
      <c r="D99" s="4" t="s">
        <v>199</v>
      </c>
      <c r="E99" s="4">
        <v>1</v>
      </c>
      <c r="F99" s="4" t="s">
        <v>232</v>
      </c>
    </row>
    <row r="100" spans="1:6" x14ac:dyDescent="0.25">
      <c r="A100" s="4">
        <v>19</v>
      </c>
      <c r="B100" s="4">
        <v>5</v>
      </c>
      <c r="C100" s="4" t="s">
        <v>8</v>
      </c>
      <c r="D100" s="4" t="s">
        <v>200</v>
      </c>
      <c r="E100" s="4">
        <v>5</v>
      </c>
    </row>
    <row r="101" spans="1:6" x14ac:dyDescent="0.25">
      <c r="A101" s="4">
        <v>23</v>
      </c>
      <c r="B101" s="4">
        <v>6</v>
      </c>
      <c r="C101" s="4" t="s">
        <v>8</v>
      </c>
      <c r="D101" s="4" t="s">
        <v>201</v>
      </c>
      <c r="E101" s="4">
        <v>5</v>
      </c>
      <c r="F101" s="4" t="s">
        <v>231</v>
      </c>
    </row>
    <row r="102" spans="1:6" x14ac:dyDescent="0.25">
      <c r="A102" s="4">
        <v>23</v>
      </c>
      <c r="B102" s="4">
        <v>6</v>
      </c>
      <c r="C102" s="4" t="s">
        <v>8</v>
      </c>
      <c r="D102" s="4" t="s">
        <v>202</v>
      </c>
      <c r="E102" s="4">
        <v>1</v>
      </c>
      <c r="F102" s="4" t="s">
        <v>232</v>
      </c>
    </row>
    <row r="103" spans="1:6" x14ac:dyDescent="0.25">
      <c r="A103" s="4">
        <v>23</v>
      </c>
      <c r="B103" s="4">
        <v>6</v>
      </c>
      <c r="C103" s="4" t="s">
        <v>8</v>
      </c>
      <c r="D103" s="4" t="s">
        <v>203</v>
      </c>
      <c r="E103" s="4">
        <v>5</v>
      </c>
    </row>
    <row r="104" spans="1:6" x14ac:dyDescent="0.25">
      <c r="A104" s="4">
        <v>27</v>
      </c>
      <c r="B104" s="4">
        <v>7</v>
      </c>
      <c r="C104" s="4" t="s">
        <v>8</v>
      </c>
      <c r="D104" s="4" t="s">
        <v>204</v>
      </c>
      <c r="E104" s="4">
        <v>5</v>
      </c>
      <c r="F104" s="4" t="s">
        <v>231</v>
      </c>
    </row>
    <row r="105" spans="1:6" x14ac:dyDescent="0.25">
      <c r="A105" s="4">
        <v>27</v>
      </c>
      <c r="B105" s="4">
        <v>7</v>
      </c>
      <c r="C105" s="4" t="s">
        <v>8</v>
      </c>
      <c r="D105" s="4" t="s">
        <v>205</v>
      </c>
      <c r="E105" s="4">
        <v>1</v>
      </c>
      <c r="F105" s="4" t="s">
        <v>232</v>
      </c>
    </row>
    <row r="106" spans="1:6" x14ac:dyDescent="0.25">
      <c r="A106" s="4">
        <v>27</v>
      </c>
      <c r="B106" s="4">
        <v>7</v>
      </c>
      <c r="C106" s="4" t="s">
        <v>8</v>
      </c>
      <c r="D106" s="4" t="s">
        <v>206</v>
      </c>
      <c r="E106" s="4">
        <v>6</v>
      </c>
    </row>
    <row r="107" spans="1:6" x14ac:dyDescent="0.25">
      <c r="A107" s="4">
        <v>30</v>
      </c>
      <c r="B107" s="4">
        <v>8</v>
      </c>
      <c r="C107" s="4" t="s">
        <v>8</v>
      </c>
      <c r="D107" s="4" t="s">
        <v>207</v>
      </c>
      <c r="E107" s="4">
        <v>5</v>
      </c>
      <c r="F107" s="4" t="s">
        <v>231</v>
      </c>
    </row>
    <row r="108" spans="1:6" x14ac:dyDescent="0.25">
      <c r="A108" s="4">
        <v>30</v>
      </c>
      <c r="B108" s="4">
        <v>8</v>
      </c>
      <c r="C108" s="4" t="s">
        <v>8</v>
      </c>
      <c r="D108" s="4" t="s">
        <v>208</v>
      </c>
      <c r="E108" s="4">
        <v>1</v>
      </c>
      <c r="F108" s="4" t="s">
        <v>232</v>
      </c>
    </row>
    <row r="109" spans="1:6" x14ac:dyDescent="0.25">
      <c r="A109" s="4">
        <v>30</v>
      </c>
      <c r="B109" s="4">
        <v>8</v>
      </c>
      <c r="C109" s="4" t="s">
        <v>8</v>
      </c>
      <c r="D109" s="4" t="s">
        <v>209</v>
      </c>
      <c r="E109" s="4">
        <v>6</v>
      </c>
    </row>
    <row r="110" spans="1:6" x14ac:dyDescent="0.25">
      <c r="A110" s="4">
        <v>33</v>
      </c>
      <c r="B110" s="4">
        <v>9</v>
      </c>
      <c r="C110" s="4" t="s">
        <v>8</v>
      </c>
      <c r="D110" s="4" t="s">
        <v>210</v>
      </c>
      <c r="E110" s="4">
        <v>5</v>
      </c>
      <c r="F110" s="4" t="s">
        <v>231</v>
      </c>
    </row>
    <row r="111" spans="1:6" x14ac:dyDescent="0.25">
      <c r="A111" s="4">
        <v>33</v>
      </c>
      <c r="B111" s="4">
        <v>9</v>
      </c>
      <c r="C111" s="4" t="s">
        <v>8</v>
      </c>
      <c r="D111" s="4" t="s">
        <v>211</v>
      </c>
      <c r="E111" s="4">
        <v>1</v>
      </c>
      <c r="F111" s="4" t="s">
        <v>232</v>
      </c>
    </row>
    <row r="112" spans="1:6" x14ac:dyDescent="0.25">
      <c r="A112" s="4">
        <v>33</v>
      </c>
      <c r="B112" s="4">
        <v>9</v>
      </c>
      <c r="C112" s="4" t="s">
        <v>8</v>
      </c>
      <c r="D112" s="4" t="s">
        <v>212</v>
      </c>
      <c r="E112" s="4">
        <v>3</v>
      </c>
    </row>
    <row r="113" spans="1:6" x14ac:dyDescent="0.25">
      <c r="A113" s="4">
        <v>39</v>
      </c>
      <c r="B113" s="4">
        <v>10</v>
      </c>
      <c r="C113" s="4" t="s">
        <v>8</v>
      </c>
      <c r="D113" s="4" t="s">
        <v>213</v>
      </c>
      <c r="E113" s="4">
        <v>5</v>
      </c>
      <c r="F113" s="4" t="s">
        <v>231</v>
      </c>
    </row>
    <row r="114" spans="1:6" x14ac:dyDescent="0.25">
      <c r="A114" s="4">
        <v>39</v>
      </c>
      <c r="B114" s="4">
        <v>10</v>
      </c>
      <c r="C114" s="4" t="s">
        <v>8</v>
      </c>
      <c r="D114" s="4" t="s">
        <v>214</v>
      </c>
      <c r="E114" s="4">
        <v>1</v>
      </c>
      <c r="F114" s="4" t="s">
        <v>232</v>
      </c>
    </row>
    <row r="115" spans="1:6" x14ac:dyDescent="0.25">
      <c r="A115" s="4">
        <v>39</v>
      </c>
      <c r="B115" s="4">
        <v>10</v>
      </c>
      <c r="C115" s="4" t="s">
        <v>8</v>
      </c>
      <c r="D115" s="4" t="s">
        <v>215</v>
      </c>
      <c r="E115" s="4">
        <v>6</v>
      </c>
    </row>
    <row r="116" spans="1:6" x14ac:dyDescent="0.25">
      <c r="A116" s="4">
        <v>44</v>
      </c>
      <c r="B116" s="4">
        <v>11</v>
      </c>
      <c r="C116" s="4" t="s">
        <v>8</v>
      </c>
      <c r="D116" s="4" t="s">
        <v>216</v>
      </c>
      <c r="E116" s="4">
        <v>5</v>
      </c>
      <c r="F116" s="4" t="s">
        <v>231</v>
      </c>
    </row>
    <row r="117" spans="1:6" x14ac:dyDescent="0.25">
      <c r="A117" s="4">
        <v>44</v>
      </c>
      <c r="B117" s="4">
        <v>11</v>
      </c>
      <c r="C117" s="4" t="s">
        <v>8</v>
      </c>
      <c r="D117" s="4" t="s">
        <v>217</v>
      </c>
      <c r="E117" s="4">
        <v>1</v>
      </c>
      <c r="F117" s="4" t="s">
        <v>232</v>
      </c>
    </row>
    <row r="118" spans="1:6" x14ac:dyDescent="0.25">
      <c r="A118" s="4">
        <v>44</v>
      </c>
      <c r="B118" s="4">
        <v>11</v>
      </c>
      <c r="C118" s="4" t="s">
        <v>8</v>
      </c>
      <c r="D118" s="4" t="s">
        <v>218</v>
      </c>
      <c r="E118" s="4">
        <v>5</v>
      </c>
    </row>
    <row r="119" spans="1:6" x14ac:dyDescent="0.25">
      <c r="A119" s="4">
        <v>48</v>
      </c>
      <c r="B119" s="4">
        <v>12</v>
      </c>
      <c r="C119" s="4" t="s">
        <v>8</v>
      </c>
      <c r="D119" s="4" t="s">
        <v>219</v>
      </c>
      <c r="E119" s="4">
        <v>5</v>
      </c>
      <c r="F119" s="4" t="s">
        <v>231</v>
      </c>
    </row>
    <row r="120" spans="1:6" x14ac:dyDescent="0.25">
      <c r="A120" s="4">
        <v>48</v>
      </c>
      <c r="B120" s="4">
        <v>12</v>
      </c>
      <c r="C120" s="4" t="s">
        <v>8</v>
      </c>
      <c r="D120" s="4" t="s">
        <v>220</v>
      </c>
      <c r="E120" s="4">
        <v>1</v>
      </c>
      <c r="F120" s="4" t="s">
        <v>232</v>
      </c>
    </row>
    <row r="121" spans="1:6" x14ac:dyDescent="0.25">
      <c r="A121" s="4">
        <v>48</v>
      </c>
      <c r="B121" s="4">
        <v>12</v>
      </c>
      <c r="C121" s="4" t="s">
        <v>8</v>
      </c>
      <c r="D121" s="4" t="s">
        <v>221</v>
      </c>
      <c r="E121" s="4">
        <v>2</v>
      </c>
    </row>
    <row r="122" spans="1:6" x14ac:dyDescent="0.25">
      <c r="A122" s="4">
        <v>50</v>
      </c>
      <c r="B122" s="4">
        <v>13</v>
      </c>
      <c r="C122" s="4" t="s">
        <v>8</v>
      </c>
      <c r="D122" s="4" t="s">
        <v>222</v>
      </c>
      <c r="E122" s="4">
        <v>5</v>
      </c>
      <c r="F122" s="4" t="s">
        <v>233</v>
      </c>
    </row>
    <row r="123" spans="1:6" x14ac:dyDescent="0.25">
      <c r="A123" s="4">
        <v>50</v>
      </c>
      <c r="B123" s="4">
        <v>13</v>
      </c>
      <c r="C123" s="4" t="s">
        <v>8</v>
      </c>
      <c r="D123" s="4" t="s">
        <v>223</v>
      </c>
      <c r="E123" s="4">
        <v>1</v>
      </c>
      <c r="F123" s="4" t="s">
        <v>232</v>
      </c>
    </row>
    <row r="124" spans="1:6" x14ac:dyDescent="0.25">
      <c r="A124" s="4">
        <v>50</v>
      </c>
      <c r="B124" s="4">
        <v>13</v>
      </c>
      <c r="C124" s="4" t="s">
        <v>8</v>
      </c>
      <c r="D124" s="4" t="s">
        <v>224</v>
      </c>
      <c r="E124" s="4">
        <v>2</v>
      </c>
    </row>
    <row r="125" spans="1:6" x14ac:dyDescent="0.25">
      <c r="A125" s="4">
        <v>55</v>
      </c>
      <c r="B125" s="4">
        <v>14</v>
      </c>
      <c r="C125" s="4" t="s">
        <v>8</v>
      </c>
      <c r="D125" s="4" t="s">
        <v>225</v>
      </c>
      <c r="E125" s="4">
        <v>5</v>
      </c>
      <c r="F125" s="4" t="s">
        <v>233</v>
      </c>
    </row>
    <row r="126" spans="1:6" x14ac:dyDescent="0.25">
      <c r="A126" s="4">
        <v>55</v>
      </c>
      <c r="B126" s="4">
        <v>14</v>
      </c>
      <c r="C126" s="4" t="s">
        <v>8</v>
      </c>
      <c r="D126" s="4" t="s">
        <v>226</v>
      </c>
      <c r="E126" s="4">
        <v>1</v>
      </c>
      <c r="F126" s="4" t="s">
        <v>232</v>
      </c>
    </row>
    <row r="127" spans="1:6" x14ac:dyDescent="0.25">
      <c r="A127" s="4">
        <v>55</v>
      </c>
      <c r="B127" s="4">
        <v>14</v>
      </c>
      <c r="C127" s="4" t="s">
        <v>8</v>
      </c>
      <c r="D127" s="4" t="s">
        <v>227</v>
      </c>
      <c r="E127" s="4">
        <v>5</v>
      </c>
    </row>
  </sheetData>
  <autoFilter ref="A1:F1" xr:uid="{FB5A48B2-42BC-4020-948B-176682B23601}">
    <sortState xmlns:xlrd2="http://schemas.microsoft.com/office/spreadsheetml/2017/richdata2" ref="A2:F127">
      <sortCondition ref="C1"/>
    </sortState>
  </autoFilter>
  <pageMargins left="0.70866141732283472" right="0.70866141732283472" top="0.74803149606299213" bottom="0.74803149606299213" header="0.31496062992125984" footer="0.31496062992125984"/>
  <pageSetup paperSize="9" fitToHeight="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38BD9-55F1-4CBA-9AF4-FCB5A837A0BA}">
  <sheetPr>
    <tabColor theme="8" tint="0.59999389629810485"/>
  </sheetPr>
  <dimension ref="A1:F127"/>
  <sheetViews>
    <sheetView workbookViewId="0">
      <selection activeCell="K31" sqref="K31"/>
    </sheetView>
  </sheetViews>
  <sheetFormatPr defaultRowHeight="15" x14ac:dyDescent="0.25"/>
  <cols>
    <col min="3" max="3" width="14.28515625" customWidth="1"/>
  </cols>
  <sheetData>
    <row r="1" spans="1:6" ht="15.75" thickBot="1" x14ac:dyDescent="0.3">
      <c r="A1" s="12" t="s">
        <v>0</v>
      </c>
      <c r="B1" s="12" t="s">
        <v>1</v>
      </c>
      <c r="C1" s="12" t="s">
        <v>2</v>
      </c>
      <c r="D1" s="12" t="s">
        <v>100</v>
      </c>
      <c r="E1" s="12" t="s">
        <v>101</v>
      </c>
      <c r="F1" s="12" t="s">
        <v>97</v>
      </c>
    </row>
    <row r="2" spans="1:6" x14ac:dyDescent="0.25">
      <c r="A2" s="13">
        <v>1</v>
      </c>
      <c r="B2" s="14">
        <v>1</v>
      </c>
      <c r="C2" s="14" t="s">
        <v>5</v>
      </c>
      <c r="D2" s="13" t="s">
        <v>102</v>
      </c>
      <c r="E2" s="14"/>
      <c r="F2" s="14"/>
    </row>
    <row r="3" spans="1:6" x14ac:dyDescent="0.25">
      <c r="A3" s="15">
        <v>1</v>
      </c>
      <c r="B3" s="16">
        <v>1</v>
      </c>
      <c r="C3" s="16" t="s">
        <v>5</v>
      </c>
      <c r="D3" s="15" t="s">
        <v>103</v>
      </c>
      <c r="E3" s="16"/>
      <c r="F3" s="16"/>
    </row>
    <row r="4" spans="1:6" ht="15.75" thickBot="1" x14ac:dyDescent="0.3">
      <c r="A4" s="17">
        <v>1</v>
      </c>
      <c r="B4" s="18">
        <v>1</v>
      </c>
      <c r="C4" s="18" t="s">
        <v>5</v>
      </c>
      <c r="D4" s="17" t="s">
        <v>104</v>
      </c>
      <c r="E4" s="18"/>
      <c r="F4" s="18"/>
    </row>
    <row r="5" spans="1:6" x14ac:dyDescent="0.25">
      <c r="A5" s="13">
        <v>8</v>
      </c>
      <c r="B5" s="14">
        <v>2</v>
      </c>
      <c r="C5" s="14" t="s">
        <v>5</v>
      </c>
      <c r="D5" s="13" t="s">
        <v>105</v>
      </c>
      <c r="E5" s="14"/>
      <c r="F5" s="14"/>
    </row>
    <row r="6" spans="1:6" x14ac:dyDescent="0.25">
      <c r="A6" s="15">
        <v>8</v>
      </c>
      <c r="B6" s="16">
        <v>2</v>
      </c>
      <c r="C6" s="16" t="s">
        <v>5</v>
      </c>
      <c r="D6" s="15" t="s">
        <v>106</v>
      </c>
      <c r="E6" s="16"/>
      <c r="F6" s="16"/>
    </row>
    <row r="7" spans="1:6" ht="15.75" thickBot="1" x14ac:dyDescent="0.3">
      <c r="A7" s="17">
        <v>8</v>
      </c>
      <c r="B7" s="18">
        <v>2</v>
      </c>
      <c r="C7" s="18" t="s">
        <v>5</v>
      </c>
      <c r="D7" s="17" t="s">
        <v>107</v>
      </c>
      <c r="E7" s="18"/>
      <c r="F7" s="18"/>
    </row>
    <row r="8" spans="1:6" x14ac:dyDescent="0.25">
      <c r="A8" s="13">
        <v>11</v>
      </c>
      <c r="B8" s="14">
        <v>3</v>
      </c>
      <c r="C8" s="14" t="s">
        <v>5</v>
      </c>
      <c r="D8" s="13" t="s">
        <v>108</v>
      </c>
      <c r="E8" s="14"/>
      <c r="F8" s="14"/>
    </row>
    <row r="9" spans="1:6" x14ac:dyDescent="0.25">
      <c r="A9" s="15">
        <v>11</v>
      </c>
      <c r="B9" s="16">
        <v>3</v>
      </c>
      <c r="C9" s="16" t="s">
        <v>5</v>
      </c>
      <c r="D9" s="15" t="s">
        <v>109</v>
      </c>
      <c r="E9" s="16"/>
      <c r="F9" s="16"/>
    </row>
    <row r="10" spans="1:6" ht="15.75" thickBot="1" x14ac:dyDescent="0.3">
      <c r="A10" s="17">
        <v>11</v>
      </c>
      <c r="B10" s="18">
        <v>3</v>
      </c>
      <c r="C10" s="18" t="s">
        <v>5</v>
      </c>
      <c r="D10" s="17" t="s">
        <v>110</v>
      </c>
      <c r="E10" s="18"/>
      <c r="F10" s="18"/>
    </row>
    <row r="11" spans="1:6" x14ac:dyDescent="0.25">
      <c r="A11" s="13">
        <v>16</v>
      </c>
      <c r="B11" s="14">
        <v>4</v>
      </c>
      <c r="C11" s="14" t="s">
        <v>5</v>
      </c>
      <c r="D11" s="13" t="s">
        <v>111</v>
      </c>
      <c r="E11" s="14"/>
      <c r="F11" s="14"/>
    </row>
    <row r="12" spans="1:6" x14ac:dyDescent="0.25">
      <c r="A12" s="15">
        <v>16</v>
      </c>
      <c r="B12" s="16">
        <v>4</v>
      </c>
      <c r="C12" s="16" t="s">
        <v>5</v>
      </c>
      <c r="D12" s="15" t="s">
        <v>112</v>
      </c>
      <c r="E12" s="16"/>
      <c r="F12" s="16"/>
    </row>
    <row r="13" spans="1:6" ht="15.75" thickBot="1" x14ac:dyDescent="0.3">
      <c r="A13" s="17">
        <v>16</v>
      </c>
      <c r="B13" s="18">
        <v>4</v>
      </c>
      <c r="C13" s="18" t="s">
        <v>5</v>
      </c>
      <c r="D13" s="17" t="s">
        <v>113</v>
      </c>
      <c r="E13" s="18"/>
      <c r="F13" s="18"/>
    </row>
    <row r="14" spans="1:6" x14ac:dyDescent="0.25">
      <c r="A14" s="13">
        <v>20</v>
      </c>
      <c r="B14" s="14">
        <v>5</v>
      </c>
      <c r="C14" s="14" t="s">
        <v>5</v>
      </c>
      <c r="D14" s="13" t="s">
        <v>114</v>
      </c>
      <c r="E14" s="14"/>
      <c r="F14" s="14"/>
    </row>
    <row r="15" spans="1:6" x14ac:dyDescent="0.25">
      <c r="A15" s="15">
        <v>20</v>
      </c>
      <c r="B15" s="16">
        <v>5</v>
      </c>
      <c r="C15" s="16" t="s">
        <v>5</v>
      </c>
      <c r="D15" s="15" t="s">
        <v>115</v>
      </c>
      <c r="E15" s="16"/>
      <c r="F15" s="16"/>
    </row>
    <row r="16" spans="1:6" ht="15.75" thickBot="1" x14ac:dyDescent="0.3">
      <c r="A16" s="17">
        <v>20</v>
      </c>
      <c r="B16" s="18">
        <v>5</v>
      </c>
      <c r="C16" s="18" t="s">
        <v>5</v>
      </c>
      <c r="D16" s="17" t="s">
        <v>116</v>
      </c>
      <c r="E16" s="18"/>
      <c r="F16" s="18"/>
    </row>
    <row r="17" spans="1:6" x14ac:dyDescent="0.25">
      <c r="A17" s="13">
        <v>21</v>
      </c>
      <c r="B17" s="14">
        <v>6</v>
      </c>
      <c r="C17" s="14" t="s">
        <v>5</v>
      </c>
      <c r="D17" s="13" t="s">
        <v>117</v>
      </c>
      <c r="E17" s="14"/>
      <c r="F17" s="14"/>
    </row>
    <row r="18" spans="1:6" x14ac:dyDescent="0.25">
      <c r="A18" s="15">
        <v>21</v>
      </c>
      <c r="B18" s="16">
        <v>6</v>
      </c>
      <c r="C18" s="16" t="s">
        <v>5</v>
      </c>
      <c r="D18" s="15" t="s">
        <v>118</v>
      </c>
      <c r="E18" s="16"/>
      <c r="F18" s="16"/>
    </row>
    <row r="19" spans="1:6" ht="15.75" thickBot="1" x14ac:dyDescent="0.3">
      <c r="A19" s="17">
        <v>21</v>
      </c>
      <c r="B19" s="18">
        <v>6</v>
      </c>
      <c r="C19" s="18" t="s">
        <v>5</v>
      </c>
      <c r="D19" s="17" t="s">
        <v>119</v>
      </c>
      <c r="E19" s="18"/>
      <c r="F19" s="18"/>
    </row>
    <row r="20" spans="1:6" x14ac:dyDescent="0.25">
      <c r="A20" s="13">
        <v>28</v>
      </c>
      <c r="B20" s="14">
        <v>7</v>
      </c>
      <c r="C20" s="14" t="s">
        <v>5</v>
      </c>
      <c r="D20" s="13" t="s">
        <v>120</v>
      </c>
      <c r="E20" s="14"/>
      <c r="F20" s="14"/>
    </row>
    <row r="21" spans="1:6" x14ac:dyDescent="0.25">
      <c r="A21" s="15">
        <v>28</v>
      </c>
      <c r="B21" s="16">
        <v>7</v>
      </c>
      <c r="C21" s="16" t="s">
        <v>5</v>
      </c>
      <c r="D21" s="15" t="s">
        <v>121</v>
      </c>
      <c r="E21" s="16"/>
      <c r="F21" s="16"/>
    </row>
    <row r="22" spans="1:6" ht="15.75" thickBot="1" x14ac:dyDescent="0.3">
      <c r="A22" s="17">
        <v>28</v>
      </c>
      <c r="B22" s="18">
        <v>7</v>
      </c>
      <c r="C22" s="18" t="s">
        <v>5</v>
      </c>
      <c r="D22" s="17" t="s">
        <v>122</v>
      </c>
      <c r="E22" s="18"/>
      <c r="F22" s="18"/>
    </row>
    <row r="23" spans="1:6" x14ac:dyDescent="0.25">
      <c r="A23" s="13">
        <v>29</v>
      </c>
      <c r="B23" s="14">
        <v>8</v>
      </c>
      <c r="C23" s="14" t="s">
        <v>5</v>
      </c>
      <c r="D23" s="13" t="s">
        <v>123</v>
      </c>
      <c r="E23" s="14"/>
      <c r="F23" s="14"/>
    </row>
    <row r="24" spans="1:6" x14ac:dyDescent="0.25">
      <c r="A24" s="15">
        <v>29</v>
      </c>
      <c r="B24" s="16">
        <v>8</v>
      </c>
      <c r="C24" s="16" t="s">
        <v>5</v>
      </c>
      <c r="D24" s="15" t="s">
        <v>124</v>
      </c>
      <c r="E24" s="16"/>
      <c r="F24" s="16"/>
    </row>
    <row r="25" spans="1:6" ht="15.75" thickBot="1" x14ac:dyDescent="0.3">
      <c r="A25" s="17">
        <v>29</v>
      </c>
      <c r="B25" s="18">
        <v>8</v>
      </c>
      <c r="C25" s="18" t="s">
        <v>5</v>
      </c>
      <c r="D25" s="17" t="s">
        <v>125</v>
      </c>
      <c r="E25" s="18"/>
      <c r="F25" s="18"/>
    </row>
    <row r="26" spans="1:6" x14ac:dyDescent="0.25">
      <c r="A26" s="13">
        <v>36</v>
      </c>
      <c r="B26" s="14">
        <v>9</v>
      </c>
      <c r="C26" s="14" t="s">
        <v>5</v>
      </c>
      <c r="D26" s="13" t="s">
        <v>126</v>
      </c>
      <c r="E26" s="14"/>
      <c r="F26" s="14"/>
    </row>
    <row r="27" spans="1:6" x14ac:dyDescent="0.25">
      <c r="A27" s="15">
        <v>36</v>
      </c>
      <c r="B27" s="16">
        <v>9</v>
      </c>
      <c r="C27" s="16" t="s">
        <v>5</v>
      </c>
      <c r="D27" s="15" t="s">
        <v>127</v>
      </c>
      <c r="E27" s="16"/>
      <c r="F27" s="16"/>
    </row>
    <row r="28" spans="1:6" ht="15.75" thickBot="1" x14ac:dyDescent="0.3">
      <c r="A28" s="17">
        <v>36</v>
      </c>
      <c r="B28" s="18">
        <v>9</v>
      </c>
      <c r="C28" s="18" t="s">
        <v>5</v>
      </c>
      <c r="D28" s="17" t="s">
        <v>128</v>
      </c>
      <c r="E28" s="18"/>
      <c r="F28" s="18"/>
    </row>
    <row r="29" spans="1:6" x14ac:dyDescent="0.25">
      <c r="A29" s="13">
        <v>40</v>
      </c>
      <c r="B29" s="14">
        <v>10</v>
      </c>
      <c r="C29" s="14" t="s">
        <v>5</v>
      </c>
      <c r="D29" s="13" t="s">
        <v>129</v>
      </c>
      <c r="E29" s="14"/>
      <c r="F29" s="14"/>
    </row>
    <row r="30" spans="1:6" x14ac:dyDescent="0.25">
      <c r="A30" s="15">
        <v>40</v>
      </c>
      <c r="B30" s="16">
        <v>10</v>
      </c>
      <c r="C30" s="16" t="s">
        <v>5</v>
      </c>
      <c r="D30" s="15" t="s">
        <v>130</v>
      </c>
      <c r="E30" s="16"/>
      <c r="F30" s="16"/>
    </row>
    <row r="31" spans="1:6" ht="15.75" thickBot="1" x14ac:dyDescent="0.3">
      <c r="A31" s="17">
        <v>40</v>
      </c>
      <c r="B31" s="18">
        <v>10</v>
      </c>
      <c r="C31" s="18" t="s">
        <v>5</v>
      </c>
      <c r="D31" s="17" t="s">
        <v>131</v>
      </c>
      <c r="E31" s="18"/>
      <c r="F31" s="18"/>
    </row>
    <row r="32" spans="1:6" x14ac:dyDescent="0.25">
      <c r="A32" s="13">
        <v>43</v>
      </c>
      <c r="B32" s="14">
        <v>11</v>
      </c>
      <c r="C32" s="14" t="s">
        <v>5</v>
      </c>
      <c r="D32" s="13" t="s">
        <v>132</v>
      </c>
      <c r="E32" s="14"/>
      <c r="F32" s="14"/>
    </row>
    <row r="33" spans="1:6" x14ac:dyDescent="0.25">
      <c r="A33" s="15">
        <v>43</v>
      </c>
      <c r="B33" s="16">
        <v>11</v>
      </c>
      <c r="C33" s="16" t="s">
        <v>5</v>
      </c>
      <c r="D33" s="15" t="s">
        <v>133</v>
      </c>
      <c r="E33" s="16"/>
      <c r="F33" s="16"/>
    </row>
    <row r="34" spans="1:6" ht="15.75" thickBot="1" x14ac:dyDescent="0.3">
      <c r="A34" s="17">
        <v>43</v>
      </c>
      <c r="B34" s="18">
        <v>11</v>
      </c>
      <c r="C34" s="18" t="s">
        <v>5</v>
      </c>
      <c r="D34" s="17" t="s">
        <v>134</v>
      </c>
      <c r="E34" s="18"/>
      <c r="F34" s="18"/>
    </row>
    <row r="35" spans="1:6" x14ac:dyDescent="0.25">
      <c r="A35" s="13">
        <v>47</v>
      </c>
      <c r="B35" s="14">
        <v>12</v>
      </c>
      <c r="C35" s="14" t="s">
        <v>5</v>
      </c>
      <c r="D35" s="13" t="s">
        <v>135</v>
      </c>
      <c r="E35" s="14"/>
      <c r="F35" s="14"/>
    </row>
    <row r="36" spans="1:6" x14ac:dyDescent="0.25">
      <c r="A36" s="15">
        <v>47</v>
      </c>
      <c r="B36" s="16">
        <v>12</v>
      </c>
      <c r="C36" s="16" t="s">
        <v>5</v>
      </c>
      <c r="D36" s="15" t="s">
        <v>136</v>
      </c>
      <c r="E36" s="16"/>
      <c r="F36" s="16"/>
    </row>
    <row r="37" spans="1:6" ht="15.75" thickBot="1" x14ac:dyDescent="0.3">
      <c r="A37" s="17">
        <v>47</v>
      </c>
      <c r="B37" s="18">
        <v>12</v>
      </c>
      <c r="C37" s="18" t="s">
        <v>5</v>
      </c>
      <c r="D37" s="17" t="s">
        <v>137</v>
      </c>
      <c r="E37" s="18"/>
      <c r="F37" s="18"/>
    </row>
    <row r="38" spans="1:6" x14ac:dyDescent="0.25">
      <c r="A38" s="13">
        <v>52</v>
      </c>
      <c r="B38" s="14">
        <v>13</v>
      </c>
      <c r="C38" s="14" t="s">
        <v>5</v>
      </c>
      <c r="D38" s="13" t="s">
        <v>138</v>
      </c>
      <c r="E38" s="14"/>
      <c r="F38" s="14"/>
    </row>
    <row r="39" spans="1:6" x14ac:dyDescent="0.25">
      <c r="A39" s="15">
        <v>52</v>
      </c>
      <c r="B39" s="16">
        <v>13</v>
      </c>
      <c r="C39" s="16" t="s">
        <v>5</v>
      </c>
      <c r="D39" s="15" t="s">
        <v>139</v>
      </c>
      <c r="E39" s="16"/>
      <c r="F39" s="16"/>
    </row>
    <row r="40" spans="1:6" ht="15.75" thickBot="1" x14ac:dyDescent="0.3">
      <c r="A40" s="17">
        <v>52</v>
      </c>
      <c r="B40" s="18">
        <v>13</v>
      </c>
      <c r="C40" s="18" t="s">
        <v>5</v>
      </c>
      <c r="D40" s="17" t="s">
        <v>140</v>
      </c>
      <c r="E40" s="18"/>
      <c r="F40" s="18"/>
    </row>
    <row r="41" spans="1:6" x14ac:dyDescent="0.25">
      <c r="A41" s="13">
        <v>54</v>
      </c>
      <c r="B41" s="14">
        <v>14</v>
      </c>
      <c r="C41" s="14" t="s">
        <v>5</v>
      </c>
      <c r="D41" s="13" t="s">
        <v>141</v>
      </c>
      <c r="E41" s="14"/>
      <c r="F41" s="14"/>
    </row>
    <row r="42" spans="1:6" x14ac:dyDescent="0.25">
      <c r="A42" s="15">
        <v>54</v>
      </c>
      <c r="B42" s="16">
        <v>14</v>
      </c>
      <c r="C42" s="16" t="s">
        <v>5</v>
      </c>
      <c r="D42" s="15" t="s">
        <v>142</v>
      </c>
      <c r="E42" s="16"/>
      <c r="F42" s="16"/>
    </row>
    <row r="43" spans="1:6" ht="15.75" thickBot="1" x14ac:dyDescent="0.3">
      <c r="A43" s="17">
        <v>54</v>
      </c>
      <c r="B43" s="18">
        <v>14</v>
      </c>
      <c r="C43" s="18" t="s">
        <v>5</v>
      </c>
      <c r="D43" s="17" t="s">
        <v>143</v>
      </c>
      <c r="E43" s="18"/>
      <c r="F43" s="18"/>
    </row>
    <row r="44" spans="1:6" x14ac:dyDescent="0.25">
      <c r="A44" s="13">
        <v>3</v>
      </c>
      <c r="B44" s="14">
        <v>1</v>
      </c>
      <c r="C44" s="14" t="s">
        <v>7</v>
      </c>
      <c r="D44" s="13" t="s">
        <v>144</v>
      </c>
      <c r="E44" s="14"/>
      <c r="F44" s="14"/>
    </row>
    <row r="45" spans="1:6" x14ac:dyDescent="0.25">
      <c r="A45" s="15">
        <v>3</v>
      </c>
      <c r="B45" s="16">
        <v>1</v>
      </c>
      <c r="C45" s="16" t="s">
        <v>7</v>
      </c>
      <c r="D45" s="15" t="s">
        <v>145</v>
      </c>
      <c r="E45" s="16"/>
      <c r="F45" s="16"/>
    </row>
    <row r="46" spans="1:6" ht="15.75" thickBot="1" x14ac:dyDescent="0.3">
      <c r="A46" s="17">
        <v>3</v>
      </c>
      <c r="B46" s="18">
        <v>1</v>
      </c>
      <c r="C46" s="18" t="s">
        <v>7</v>
      </c>
      <c r="D46" s="17" t="s">
        <v>146</v>
      </c>
      <c r="E46" s="18"/>
      <c r="F46" s="18"/>
    </row>
    <row r="47" spans="1:6" x14ac:dyDescent="0.25">
      <c r="A47" s="13">
        <v>7</v>
      </c>
      <c r="B47" s="14">
        <v>2</v>
      </c>
      <c r="C47" s="14" t="s">
        <v>7</v>
      </c>
      <c r="D47" s="13" t="s">
        <v>147</v>
      </c>
      <c r="E47" s="14"/>
      <c r="F47" s="14"/>
    </row>
    <row r="48" spans="1:6" x14ac:dyDescent="0.25">
      <c r="A48" s="15">
        <v>7</v>
      </c>
      <c r="B48" s="16">
        <v>2</v>
      </c>
      <c r="C48" s="16" t="s">
        <v>7</v>
      </c>
      <c r="D48" s="15" t="s">
        <v>148</v>
      </c>
      <c r="E48" s="16"/>
      <c r="F48" s="16"/>
    </row>
    <row r="49" spans="1:6" ht="15.75" thickBot="1" x14ac:dyDescent="0.3">
      <c r="A49" s="17">
        <v>7</v>
      </c>
      <c r="B49" s="18">
        <v>2</v>
      </c>
      <c r="C49" s="18" t="s">
        <v>7</v>
      </c>
      <c r="D49" s="17" t="s">
        <v>149</v>
      </c>
      <c r="E49" s="18"/>
      <c r="F49" s="18"/>
    </row>
    <row r="50" spans="1:6" x14ac:dyDescent="0.25">
      <c r="A50" s="13">
        <v>9</v>
      </c>
      <c r="B50" s="14">
        <v>3</v>
      </c>
      <c r="C50" s="14" t="s">
        <v>7</v>
      </c>
      <c r="D50" s="13" t="s">
        <v>150</v>
      </c>
      <c r="E50" s="14"/>
      <c r="F50" s="14"/>
    </row>
    <row r="51" spans="1:6" x14ac:dyDescent="0.25">
      <c r="A51" s="15">
        <v>9</v>
      </c>
      <c r="B51" s="16">
        <v>3</v>
      </c>
      <c r="C51" s="16" t="s">
        <v>7</v>
      </c>
      <c r="D51" s="15" t="s">
        <v>151</v>
      </c>
      <c r="E51" s="16"/>
      <c r="F51" s="16"/>
    </row>
    <row r="52" spans="1:6" ht="15.75" thickBot="1" x14ac:dyDescent="0.3">
      <c r="A52" s="17">
        <v>9</v>
      </c>
      <c r="B52" s="18">
        <v>3</v>
      </c>
      <c r="C52" s="18" t="s">
        <v>7</v>
      </c>
      <c r="D52" s="17" t="s">
        <v>152</v>
      </c>
      <c r="E52" s="18"/>
      <c r="F52" s="18"/>
    </row>
    <row r="53" spans="1:6" x14ac:dyDescent="0.25">
      <c r="A53" s="13">
        <v>15</v>
      </c>
      <c r="B53" s="14">
        <v>4</v>
      </c>
      <c r="C53" s="14" t="s">
        <v>7</v>
      </c>
      <c r="D53" s="13" t="s">
        <v>153</v>
      </c>
      <c r="E53" s="14"/>
      <c r="F53" s="14"/>
    </row>
    <row r="54" spans="1:6" x14ac:dyDescent="0.25">
      <c r="A54" s="15">
        <v>15</v>
      </c>
      <c r="B54" s="16">
        <v>4</v>
      </c>
      <c r="C54" s="16" t="s">
        <v>7</v>
      </c>
      <c r="D54" s="15" t="s">
        <v>154</v>
      </c>
      <c r="E54" s="16"/>
      <c r="F54" s="16"/>
    </row>
    <row r="55" spans="1:6" ht="15.75" thickBot="1" x14ac:dyDescent="0.3">
      <c r="A55" s="17">
        <v>15</v>
      </c>
      <c r="B55" s="18">
        <v>4</v>
      </c>
      <c r="C55" s="18" t="s">
        <v>7</v>
      </c>
      <c r="D55" s="17" t="s">
        <v>155</v>
      </c>
      <c r="E55" s="18"/>
      <c r="F55" s="18"/>
    </row>
    <row r="56" spans="1:6" x14ac:dyDescent="0.25">
      <c r="A56" s="13">
        <v>18</v>
      </c>
      <c r="B56" s="14">
        <v>5</v>
      </c>
      <c r="C56" s="14" t="s">
        <v>7</v>
      </c>
      <c r="D56" s="13" t="s">
        <v>156</v>
      </c>
      <c r="E56" s="14"/>
      <c r="F56" s="14"/>
    </row>
    <row r="57" spans="1:6" x14ac:dyDescent="0.25">
      <c r="A57" s="15">
        <v>18</v>
      </c>
      <c r="B57" s="16">
        <v>5</v>
      </c>
      <c r="C57" s="16" t="s">
        <v>7</v>
      </c>
      <c r="D57" s="15" t="s">
        <v>157</v>
      </c>
      <c r="E57" s="16"/>
      <c r="F57" s="16"/>
    </row>
    <row r="58" spans="1:6" ht="15.75" thickBot="1" x14ac:dyDescent="0.3">
      <c r="A58" s="17">
        <v>18</v>
      </c>
      <c r="B58" s="18">
        <v>5</v>
      </c>
      <c r="C58" s="18" t="s">
        <v>7</v>
      </c>
      <c r="D58" s="17" t="s">
        <v>158</v>
      </c>
      <c r="E58" s="18"/>
      <c r="F58" s="18"/>
    </row>
    <row r="59" spans="1:6" x14ac:dyDescent="0.25">
      <c r="A59" s="13">
        <v>22</v>
      </c>
      <c r="B59" s="14">
        <v>6</v>
      </c>
      <c r="C59" s="14" t="s">
        <v>7</v>
      </c>
      <c r="D59" s="13" t="s">
        <v>159</v>
      </c>
      <c r="E59" s="14"/>
      <c r="F59" s="14"/>
    </row>
    <row r="60" spans="1:6" x14ac:dyDescent="0.25">
      <c r="A60" s="15">
        <v>22</v>
      </c>
      <c r="B60" s="16">
        <v>6</v>
      </c>
      <c r="C60" s="16" t="s">
        <v>7</v>
      </c>
      <c r="D60" s="15" t="s">
        <v>160</v>
      </c>
      <c r="E60" s="16"/>
      <c r="F60" s="16"/>
    </row>
    <row r="61" spans="1:6" ht="15.75" thickBot="1" x14ac:dyDescent="0.3">
      <c r="A61" s="17">
        <v>22</v>
      </c>
      <c r="B61" s="18">
        <v>6</v>
      </c>
      <c r="C61" s="18" t="s">
        <v>7</v>
      </c>
      <c r="D61" s="17" t="s">
        <v>161</v>
      </c>
      <c r="E61" s="18"/>
      <c r="F61" s="18"/>
    </row>
    <row r="62" spans="1:6" x14ac:dyDescent="0.25">
      <c r="A62" s="13">
        <v>25</v>
      </c>
      <c r="B62" s="14">
        <v>7</v>
      </c>
      <c r="C62" s="14" t="s">
        <v>7</v>
      </c>
      <c r="D62" s="13" t="s">
        <v>162</v>
      </c>
      <c r="E62" s="14"/>
      <c r="F62" s="14"/>
    </row>
    <row r="63" spans="1:6" x14ac:dyDescent="0.25">
      <c r="A63" s="15">
        <v>25</v>
      </c>
      <c r="B63" s="16">
        <v>7</v>
      </c>
      <c r="C63" s="16" t="s">
        <v>7</v>
      </c>
      <c r="D63" s="15" t="s">
        <v>163</v>
      </c>
      <c r="E63" s="16"/>
      <c r="F63" s="16"/>
    </row>
    <row r="64" spans="1:6" ht="15.75" thickBot="1" x14ac:dyDescent="0.3">
      <c r="A64" s="17">
        <v>25</v>
      </c>
      <c r="B64" s="18">
        <v>7</v>
      </c>
      <c r="C64" s="18" t="s">
        <v>7</v>
      </c>
      <c r="D64" s="17" t="s">
        <v>164</v>
      </c>
      <c r="E64" s="18"/>
      <c r="F64" s="18"/>
    </row>
    <row r="65" spans="1:6" x14ac:dyDescent="0.25">
      <c r="A65" s="13">
        <v>32</v>
      </c>
      <c r="B65" s="14">
        <v>8</v>
      </c>
      <c r="C65" s="14" t="s">
        <v>7</v>
      </c>
      <c r="D65" s="13" t="s">
        <v>165</v>
      </c>
      <c r="E65" s="14"/>
      <c r="F65" s="14"/>
    </row>
    <row r="66" spans="1:6" x14ac:dyDescent="0.25">
      <c r="A66" s="15">
        <v>32</v>
      </c>
      <c r="B66" s="16">
        <v>8</v>
      </c>
      <c r="C66" s="16" t="s">
        <v>7</v>
      </c>
      <c r="D66" s="15" t="s">
        <v>166</v>
      </c>
      <c r="E66" s="16"/>
      <c r="F66" s="16"/>
    </row>
    <row r="67" spans="1:6" ht="15.75" thickBot="1" x14ac:dyDescent="0.3">
      <c r="A67" s="17">
        <v>32</v>
      </c>
      <c r="B67" s="18">
        <v>8</v>
      </c>
      <c r="C67" s="18" t="s">
        <v>7</v>
      </c>
      <c r="D67" s="17" t="s">
        <v>167</v>
      </c>
      <c r="E67" s="18"/>
      <c r="F67" s="18"/>
    </row>
    <row r="68" spans="1:6" x14ac:dyDescent="0.25">
      <c r="A68" s="13">
        <v>35</v>
      </c>
      <c r="B68" s="14">
        <v>9</v>
      </c>
      <c r="C68" s="14" t="s">
        <v>7</v>
      </c>
      <c r="D68" s="13" t="s">
        <v>168</v>
      </c>
      <c r="E68" s="14"/>
      <c r="F68" s="14"/>
    </row>
    <row r="69" spans="1:6" x14ac:dyDescent="0.25">
      <c r="A69" s="15">
        <v>35</v>
      </c>
      <c r="B69" s="16">
        <v>9</v>
      </c>
      <c r="C69" s="16" t="s">
        <v>7</v>
      </c>
      <c r="D69" s="15" t="s">
        <v>169</v>
      </c>
      <c r="E69" s="16"/>
      <c r="F69" s="16"/>
    </row>
    <row r="70" spans="1:6" ht="15.75" thickBot="1" x14ac:dyDescent="0.3">
      <c r="A70" s="17">
        <v>35</v>
      </c>
      <c r="B70" s="18">
        <v>9</v>
      </c>
      <c r="C70" s="18" t="s">
        <v>7</v>
      </c>
      <c r="D70" s="17" t="s">
        <v>170</v>
      </c>
      <c r="E70" s="18"/>
      <c r="F70" s="18"/>
    </row>
    <row r="71" spans="1:6" x14ac:dyDescent="0.25">
      <c r="A71" s="13">
        <v>37</v>
      </c>
      <c r="B71" s="14">
        <v>10</v>
      </c>
      <c r="C71" s="14" t="s">
        <v>7</v>
      </c>
      <c r="D71" s="13" t="s">
        <v>171</v>
      </c>
      <c r="E71" s="14"/>
      <c r="F71" s="14"/>
    </row>
    <row r="72" spans="1:6" x14ac:dyDescent="0.25">
      <c r="A72" s="15">
        <v>37</v>
      </c>
      <c r="B72" s="16">
        <v>10</v>
      </c>
      <c r="C72" s="16" t="s">
        <v>7</v>
      </c>
      <c r="D72" s="15" t="s">
        <v>172</v>
      </c>
      <c r="E72" s="16"/>
      <c r="F72" s="16"/>
    </row>
    <row r="73" spans="1:6" ht="15.75" thickBot="1" x14ac:dyDescent="0.3">
      <c r="A73" s="17">
        <v>37</v>
      </c>
      <c r="B73" s="18">
        <v>10</v>
      </c>
      <c r="C73" s="18" t="s">
        <v>7</v>
      </c>
      <c r="D73" s="17" t="s">
        <v>173</v>
      </c>
      <c r="E73" s="18"/>
      <c r="F73" s="18"/>
    </row>
    <row r="74" spans="1:6" x14ac:dyDescent="0.25">
      <c r="A74" s="13">
        <v>42</v>
      </c>
      <c r="B74" s="14">
        <v>11</v>
      </c>
      <c r="C74" s="14" t="s">
        <v>7</v>
      </c>
      <c r="D74" s="13" t="s">
        <v>174</v>
      </c>
      <c r="E74" s="14"/>
      <c r="F74" s="14"/>
    </row>
    <row r="75" spans="1:6" x14ac:dyDescent="0.25">
      <c r="A75" s="15">
        <v>42</v>
      </c>
      <c r="B75" s="16">
        <v>11</v>
      </c>
      <c r="C75" s="16" t="s">
        <v>7</v>
      </c>
      <c r="D75" s="15" t="s">
        <v>175</v>
      </c>
      <c r="E75" s="16"/>
      <c r="F75" s="16"/>
    </row>
    <row r="76" spans="1:6" ht="15.75" thickBot="1" x14ac:dyDescent="0.3">
      <c r="A76" s="17">
        <v>42</v>
      </c>
      <c r="B76" s="18">
        <v>11</v>
      </c>
      <c r="C76" s="18" t="s">
        <v>7</v>
      </c>
      <c r="D76" s="17" t="s">
        <v>176</v>
      </c>
      <c r="E76" s="18"/>
      <c r="F76" s="18"/>
    </row>
    <row r="77" spans="1:6" x14ac:dyDescent="0.25">
      <c r="A77" s="13">
        <v>45</v>
      </c>
      <c r="B77" s="14">
        <v>12</v>
      </c>
      <c r="C77" s="14" t="s">
        <v>7</v>
      </c>
      <c r="D77" s="13" t="s">
        <v>177</v>
      </c>
      <c r="E77" s="14"/>
      <c r="F77" s="14"/>
    </row>
    <row r="78" spans="1:6" x14ac:dyDescent="0.25">
      <c r="A78" s="15">
        <v>45</v>
      </c>
      <c r="B78" s="16">
        <v>12</v>
      </c>
      <c r="C78" s="16" t="s">
        <v>7</v>
      </c>
      <c r="D78" s="15" t="s">
        <v>178</v>
      </c>
      <c r="E78" s="16"/>
      <c r="F78" s="16"/>
    </row>
    <row r="79" spans="1:6" ht="15.75" thickBot="1" x14ac:dyDescent="0.3">
      <c r="A79" s="17">
        <v>45</v>
      </c>
      <c r="B79" s="18">
        <v>12</v>
      </c>
      <c r="C79" s="18" t="s">
        <v>7</v>
      </c>
      <c r="D79" s="17" t="s">
        <v>179</v>
      </c>
      <c r="E79" s="18"/>
      <c r="F79" s="18"/>
    </row>
    <row r="80" spans="1:6" x14ac:dyDescent="0.25">
      <c r="A80" s="13">
        <v>51</v>
      </c>
      <c r="B80" s="14">
        <v>13</v>
      </c>
      <c r="C80" s="14" t="s">
        <v>7</v>
      </c>
      <c r="D80" s="13" t="s">
        <v>180</v>
      </c>
      <c r="E80" s="14"/>
      <c r="F80" s="14"/>
    </row>
    <row r="81" spans="1:6" x14ac:dyDescent="0.25">
      <c r="A81" s="15">
        <v>51</v>
      </c>
      <c r="B81" s="16">
        <v>13</v>
      </c>
      <c r="C81" s="16" t="s">
        <v>7</v>
      </c>
      <c r="D81" s="15" t="s">
        <v>181</v>
      </c>
      <c r="E81" s="16"/>
      <c r="F81" s="16"/>
    </row>
    <row r="82" spans="1:6" ht="15.75" thickBot="1" x14ac:dyDescent="0.3">
      <c r="A82" s="17">
        <v>51</v>
      </c>
      <c r="B82" s="18">
        <v>13</v>
      </c>
      <c r="C82" s="18" t="s">
        <v>7</v>
      </c>
      <c r="D82" s="17" t="s">
        <v>182</v>
      </c>
      <c r="E82" s="18"/>
      <c r="F82" s="18"/>
    </row>
    <row r="83" spans="1:6" x14ac:dyDescent="0.25">
      <c r="A83" s="13">
        <v>56</v>
      </c>
      <c r="B83" s="14">
        <v>14</v>
      </c>
      <c r="C83" s="14" t="s">
        <v>7</v>
      </c>
      <c r="D83" s="13" t="s">
        <v>183</v>
      </c>
      <c r="E83" s="14"/>
      <c r="F83" s="14"/>
    </row>
    <row r="84" spans="1:6" x14ac:dyDescent="0.25">
      <c r="A84" s="15">
        <v>56</v>
      </c>
      <c r="B84" s="16">
        <v>14</v>
      </c>
      <c r="C84" s="16" t="s">
        <v>7</v>
      </c>
      <c r="D84" s="15" t="s">
        <v>184</v>
      </c>
      <c r="E84" s="16"/>
      <c r="F84" s="16"/>
    </row>
    <row r="85" spans="1:6" ht="15.75" thickBot="1" x14ac:dyDescent="0.3">
      <c r="A85" s="17">
        <v>56</v>
      </c>
      <c r="B85" s="18">
        <v>14</v>
      </c>
      <c r="C85" s="18" t="s">
        <v>7</v>
      </c>
      <c r="D85" s="17" t="s">
        <v>185</v>
      </c>
      <c r="E85" s="18"/>
      <c r="F85" s="18"/>
    </row>
    <row r="86" spans="1:6" x14ac:dyDescent="0.25">
      <c r="A86" s="13">
        <v>4</v>
      </c>
      <c r="B86" s="14">
        <v>1</v>
      </c>
      <c r="C86" s="14" t="s">
        <v>8</v>
      </c>
      <c r="D86" s="13" t="s">
        <v>186</v>
      </c>
      <c r="E86" s="14"/>
      <c r="F86" s="14"/>
    </row>
    <row r="87" spans="1:6" x14ac:dyDescent="0.25">
      <c r="A87" s="15">
        <v>4</v>
      </c>
      <c r="B87" s="16">
        <v>1</v>
      </c>
      <c r="C87" s="16" t="s">
        <v>8</v>
      </c>
      <c r="D87" s="15" t="s">
        <v>187</v>
      </c>
      <c r="E87" s="16"/>
      <c r="F87" s="16"/>
    </row>
    <row r="88" spans="1:6" ht="15.75" thickBot="1" x14ac:dyDescent="0.3">
      <c r="A88" s="17">
        <v>4</v>
      </c>
      <c r="B88" s="18">
        <v>1</v>
      </c>
      <c r="C88" s="18" t="s">
        <v>8</v>
      </c>
      <c r="D88" s="17" t="s">
        <v>188</v>
      </c>
      <c r="E88" s="18"/>
      <c r="F88" s="18"/>
    </row>
    <row r="89" spans="1:6" x14ac:dyDescent="0.25">
      <c r="A89" s="13">
        <v>6</v>
      </c>
      <c r="B89" s="14">
        <v>2</v>
      </c>
      <c r="C89" s="14" t="s">
        <v>8</v>
      </c>
      <c r="D89" s="13" t="s">
        <v>189</v>
      </c>
      <c r="E89" s="14"/>
      <c r="F89" s="14"/>
    </row>
    <row r="90" spans="1:6" x14ac:dyDescent="0.25">
      <c r="A90" s="15">
        <v>6</v>
      </c>
      <c r="B90" s="16">
        <v>2</v>
      </c>
      <c r="C90" s="16" t="s">
        <v>8</v>
      </c>
      <c r="D90" s="15" t="s">
        <v>190</v>
      </c>
      <c r="E90" s="16"/>
      <c r="F90" s="16"/>
    </row>
    <row r="91" spans="1:6" ht="15.75" thickBot="1" x14ac:dyDescent="0.3">
      <c r="A91" s="17">
        <v>6</v>
      </c>
      <c r="B91" s="18">
        <v>2</v>
      </c>
      <c r="C91" s="18" t="s">
        <v>8</v>
      </c>
      <c r="D91" s="17" t="s">
        <v>191</v>
      </c>
      <c r="E91" s="18"/>
      <c r="F91" s="18"/>
    </row>
    <row r="92" spans="1:6" x14ac:dyDescent="0.25">
      <c r="A92" s="13">
        <v>10</v>
      </c>
      <c r="B92" s="14">
        <v>3</v>
      </c>
      <c r="C92" s="14" t="s">
        <v>8</v>
      </c>
      <c r="D92" s="13" t="s">
        <v>192</v>
      </c>
      <c r="E92" s="14"/>
      <c r="F92" s="14"/>
    </row>
    <row r="93" spans="1:6" x14ac:dyDescent="0.25">
      <c r="A93" s="15">
        <v>10</v>
      </c>
      <c r="B93" s="16">
        <v>3</v>
      </c>
      <c r="C93" s="16" t="s">
        <v>8</v>
      </c>
      <c r="D93" s="15" t="s">
        <v>193</v>
      </c>
      <c r="E93" s="16"/>
      <c r="F93" s="16"/>
    </row>
    <row r="94" spans="1:6" ht="15.75" thickBot="1" x14ac:dyDescent="0.3">
      <c r="A94" s="17">
        <v>10</v>
      </c>
      <c r="B94" s="18">
        <v>3</v>
      </c>
      <c r="C94" s="18" t="s">
        <v>8</v>
      </c>
      <c r="D94" s="17" t="s">
        <v>194</v>
      </c>
      <c r="E94" s="18"/>
      <c r="F94" s="18"/>
    </row>
    <row r="95" spans="1:6" x14ac:dyDescent="0.25">
      <c r="A95" s="13">
        <v>13</v>
      </c>
      <c r="B95" s="14">
        <v>4</v>
      </c>
      <c r="C95" s="14" t="s">
        <v>8</v>
      </c>
      <c r="D95" s="13" t="s">
        <v>195</v>
      </c>
      <c r="E95" s="14"/>
      <c r="F95" s="14"/>
    </row>
    <row r="96" spans="1:6" x14ac:dyDescent="0.25">
      <c r="A96" s="15">
        <v>13</v>
      </c>
      <c r="B96" s="16">
        <v>4</v>
      </c>
      <c r="C96" s="16" t="s">
        <v>8</v>
      </c>
      <c r="D96" s="15" t="s">
        <v>196</v>
      </c>
      <c r="E96" s="16"/>
      <c r="F96" s="16"/>
    </row>
    <row r="97" spans="1:6" ht="15.75" thickBot="1" x14ac:dyDescent="0.3">
      <c r="A97" s="17">
        <v>13</v>
      </c>
      <c r="B97" s="18">
        <v>4</v>
      </c>
      <c r="C97" s="18" t="s">
        <v>8</v>
      </c>
      <c r="D97" s="17" t="s">
        <v>197</v>
      </c>
      <c r="E97" s="18"/>
      <c r="F97" s="18"/>
    </row>
    <row r="98" spans="1:6" x14ac:dyDescent="0.25">
      <c r="A98" s="13">
        <v>19</v>
      </c>
      <c r="B98" s="14">
        <v>5</v>
      </c>
      <c r="C98" s="14" t="s">
        <v>8</v>
      </c>
      <c r="D98" s="13" t="s">
        <v>198</v>
      </c>
      <c r="E98" s="14"/>
      <c r="F98" s="14"/>
    </row>
    <row r="99" spans="1:6" x14ac:dyDescent="0.25">
      <c r="A99" s="15">
        <v>19</v>
      </c>
      <c r="B99" s="16">
        <v>5</v>
      </c>
      <c r="C99" s="16" t="s">
        <v>8</v>
      </c>
      <c r="D99" s="15" t="s">
        <v>199</v>
      </c>
      <c r="E99" s="16"/>
      <c r="F99" s="16"/>
    </row>
    <row r="100" spans="1:6" ht="15.75" thickBot="1" x14ac:dyDescent="0.3">
      <c r="A100" s="17">
        <v>19</v>
      </c>
      <c r="B100" s="18">
        <v>5</v>
      </c>
      <c r="C100" s="18" t="s">
        <v>8</v>
      </c>
      <c r="D100" s="17" t="s">
        <v>200</v>
      </c>
      <c r="E100" s="18"/>
      <c r="F100" s="18"/>
    </row>
    <row r="101" spans="1:6" x14ac:dyDescent="0.25">
      <c r="A101" s="13">
        <v>23</v>
      </c>
      <c r="B101" s="14">
        <v>6</v>
      </c>
      <c r="C101" s="14" t="s">
        <v>8</v>
      </c>
      <c r="D101" s="13" t="s">
        <v>201</v>
      </c>
      <c r="E101" s="14"/>
      <c r="F101" s="14"/>
    </row>
    <row r="102" spans="1:6" x14ac:dyDescent="0.25">
      <c r="A102" s="15">
        <v>23</v>
      </c>
      <c r="B102" s="16">
        <v>6</v>
      </c>
      <c r="C102" s="16" t="s">
        <v>8</v>
      </c>
      <c r="D102" s="15" t="s">
        <v>202</v>
      </c>
      <c r="E102" s="16"/>
      <c r="F102" s="16"/>
    </row>
    <row r="103" spans="1:6" ht="15.75" thickBot="1" x14ac:dyDescent="0.3">
      <c r="A103" s="17">
        <v>23</v>
      </c>
      <c r="B103" s="18">
        <v>6</v>
      </c>
      <c r="C103" s="18" t="s">
        <v>8</v>
      </c>
      <c r="D103" s="17" t="s">
        <v>203</v>
      </c>
      <c r="E103" s="18"/>
      <c r="F103" s="18"/>
    </row>
    <row r="104" spans="1:6" x14ac:dyDescent="0.25">
      <c r="A104" s="13">
        <v>27</v>
      </c>
      <c r="B104" s="14">
        <v>7</v>
      </c>
      <c r="C104" s="14" t="s">
        <v>8</v>
      </c>
      <c r="D104" s="13" t="s">
        <v>204</v>
      </c>
      <c r="E104" s="14"/>
      <c r="F104" s="14"/>
    </row>
    <row r="105" spans="1:6" x14ac:dyDescent="0.25">
      <c r="A105" s="15">
        <v>27</v>
      </c>
      <c r="B105" s="16">
        <v>7</v>
      </c>
      <c r="C105" s="16" t="s">
        <v>8</v>
      </c>
      <c r="D105" s="15" t="s">
        <v>205</v>
      </c>
      <c r="E105" s="16"/>
      <c r="F105" s="16"/>
    </row>
    <row r="106" spans="1:6" ht="15.75" thickBot="1" x14ac:dyDescent="0.3">
      <c r="A106" s="17">
        <v>27</v>
      </c>
      <c r="B106" s="18">
        <v>7</v>
      </c>
      <c r="C106" s="18" t="s">
        <v>8</v>
      </c>
      <c r="D106" s="17" t="s">
        <v>206</v>
      </c>
      <c r="E106" s="18"/>
      <c r="F106" s="18"/>
    </row>
    <row r="107" spans="1:6" x14ac:dyDescent="0.25">
      <c r="A107" s="13">
        <v>30</v>
      </c>
      <c r="B107" s="14">
        <v>8</v>
      </c>
      <c r="C107" s="14" t="s">
        <v>8</v>
      </c>
      <c r="D107" s="13" t="s">
        <v>207</v>
      </c>
      <c r="E107" s="14"/>
      <c r="F107" s="14"/>
    </row>
    <row r="108" spans="1:6" x14ac:dyDescent="0.25">
      <c r="A108" s="15">
        <v>30</v>
      </c>
      <c r="B108" s="16">
        <v>8</v>
      </c>
      <c r="C108" s="16" t="s">
        <v>8</v>
      </c>
      <c r="D108" s="15" t="s">
        <v>208</v>
      </c>
      <c r="E108" s="16"/>
      <c r="F108" s="16"/>
    </row>
    <row r="109" spans="1:6" ht="15.75" thickBot="1" x14ac:dyDescent="0.3">
      <c r="A109" s="17">
        <v>30</v>
      </c>
      <c r="B109" s="18">
        <v>8</v>
      </c>
      <c r="C109" s="18" t="s">
        <v>8</v>
      </c>
      <c r="D109" s="17" t="s">
        <v>209</v>
      </c>
      <c r="E109" s="18"/>
      <c r="F109" s="18"/>
    </row>
    <row r="110" spans="1:6" x14ac:dyDescent="0.25">
      <c r="A110" s="13">
        <v>33</v>
      </c>
      <c r="B110" s="14">
        <v>9</v>
      </c>
      <c r="C110" s="14" t="s">
        <v>8</v>
      </c>
      <c r="D110" s="13" t="s">
        <v>210</v>
      </c>
      <c r="E110" s="14"/>
      <c r="F110" s="14"/>
    </row>
    <row r="111" spans="1:6" x14ac:dyDescent="0.25">
      <c r="A111" s="15">
        <v>33</v>
      </c>
      <c r="B111" s="16">
        <v>9</v>
      </c>
      <c r="C111" s="16" t="s">
        <v>8</v>
      </c>
      <c r="D111" s="15" t="s">
        <v>211</v>
      </c>
      <c r="E111" s="16"/>
      <c r="F111" s="16"/>
    </row>
    <row r="112" spans="1:6" ht="15.75" thickBot="1" x14ac:dyDescent="0.3">
      <c r="A112" s="17">
        <v>33</v>
      </c>
      <c r="B112" s="18">
        <v>9</v>
      </c>
      <c r="C112" s="18" t="s">
        <v>8</v>
      </c>
      <c r="D112" s="17" t="s">
        <v>212</v>
      </c>
      <c r="E112" s="18"/>
      <c r="F112" s="18"/>
    </row>
    <row r="113" spans="1:6" x14ac:dyDescent="0.25">
      <c r="A113" s="13">
        <v>39</v>
      </c>
      <c r="B113" s="14">
        <v>10</v>
      </c>
      <c r="C113" s="14" t="s">
        <v>8</v>
      </c>
      <c r="D113" s="13" t="s">
        <v>213</v>
      </c>
      <c r="E113" s="14"/>
      <c r="F113" s="14"/>
    </row>
    <row r="114" spans="1:6" x14ac:dyDescent="0.25">
      <c r="A114" s="15">
        <v>39</v>
      </c>
      <c r="B114" s="16">
        <v>10</v>
      </c>
      <c r="C114" s="16" t="s">
        <v>8</v>
      </c>
      <c r="D114" s="15" t="s">
        <v>214</v>
      </c>
      <c r="E114" s="16"/>
      <c r="F114" s="16"/>
    </row>
    <row r="115" spans="1:6" ht="15.75" thickBot="1" x14ac:dyDescent="0.3">
      <c r="A115" s="17">
        <v>39</v>
      </c>
      <c r="B115" s="18">
        <v>10</v>
      </c>
      <c r="C115" s="18" t="s">
        <v>8</v>
      </c>
      <c r="D115" s="17" t="s">
        <v>215</v>
      </c>
      <c r="E115" s="18"/>
      <c r="F115" s="18"/>
    </row>
    <row r="116" spans="1:6" x14ac:dyDescent="0.25">
      <c r="A116" s="13">
        <v>44</v>
      </c>
      <c r="B116" s="14">
        <v>11</v>
      </c>
      <c r="C116" s="14" t="s">
        <v>8</v>
      </c>
      <c r="D116" s="13" t="s">
        <v>216</v>
      </c>
      <c r="E116" s="14"/>
      <c r="F116" s="14"/>
    </row>
    <row r="117" spans="1:6" x14ac:dyDescent="0.25">
      <c r="A117" s="15">
        <v>44</v>
      </c>
      <c r="B117" s="16">
        <v>11</v>
      </c>
      <c r="C117" s="16" t="s">
        <v>8</v>
      </c>
      <c r="D117" s="15" t="s">
        <v>217</v>
      </c>
      <c r="E117" s="16"/>
      <c r="F117" s="16"/>
    </row>
    <row r="118" spans="1:6" ht="15.75" thickBot="1" x14ac:dyDescent="0.3">
      <c r="A118" s="17">
        <v>44</v>
      </c>
      <c r="B118" s="18">
        <v>11</v>
      </c>
      <c r="C118" s="18" t="s">
        <v>8</v>
      </c>
      <c r="D118" s="17" t="s">
        <v>218</v>
      </c>
      <c r="E118" s="18"/>
      <c r="F118" s="18"/>
    </row>
    <row r="119" spans="1:6" x14ac:dyDescent="0.25">
      <c r="A119" s="13">
        <v>48</v>
      </c>
      <c r="B119" s="14">
        <v>12</v>
      </c>
      <c r="C119" s="14" t="s">
        <v>8</v>
      </c>
      <c r="D119" s="13" t="s">
        <v>219</v>
      </c>
      <c r="E119" s="14"/>
      <c r="F119" s="14"/>
    </row>
    <row r="120" spans="1:6" x14ac:dyDescent="0.25">
      <c r="A120" s="15">
        <v>48</v>
      </c>
      <c r="B120" s="16">
        <v>12</v>
      </c>
      <c r="C120" s="16" t="s">
        <v>8</v>
      </c>
      <c r="D120" s="15" t="s">
        <v>220</v>
      </c>
      <c r="E120" s="16"/>
      <c r="F120" s="16"/>
    </row>
    <row r="121" spans="1:6" ht="15.75" thickBot="1" x14ac:dyDescent="0.3">
      <c r="A121" s="17">
        <v>48</v>
      </c>
      <c r="B121" s="18">
        <v>12</v>
      </c>
      <c r="C121" s="18" t="s">
        <v>8</v>
      </c>
      <c r="D121" s="17" t="s">
        <v>221</v>
      </c>
      <c r="E121" s="18"/>
      <c r="F121" s="18"/>
    </row>
    <row r="122" spans="1:6" x14ac:dyDescent="0.25">
      <c r="A122" s="13">
        <v>50</v>
      </c>
      <c r="B122" s="14">
        <v>13</v>
      </c>
      <c r="C122" s="14" t="s">
        <v>8</v>
      </c>
      <c r="D122" s="13" t="s">
        <v>222</v>
      </c>
      <c r="E122" s="14"/>
      <c r="F122" s="14"/>
    </row>
    <row r="123" spans="1:6" x14ac:dyDescent="0.25">
      <c r="A123" s="15">
        <v>50</v>
      </c>
      <c r="B123" s="16">
        <v>13</v>
      </c>
      <c r="C123" s="16" t="s">
        <v>8</v>
      </c>
      <c r="D123" s="15" t="s">
        <v>223</v>
      </c>
      <c r="E123" s="16"/>
      <c r="F123" s="16"/>
    </row>
    <row r="124" spans="1:6" ht="15.75" thickBot="1" x14ac:dyDescent="0.3">
      <c r="A124" s="17">
        <v>50</v>
      </c>
      <c r="B124" s="18">
        <v>13</v>
      </c>
      <c r="C124" s="18" t="s">
        <v>8</v>
      </c>
      <c r="D124" s="17" t="s">
        <v>224</v>
      </c>
      <c r="E124" s="18"/>
      <c r="F124" s="18"/>
    </row>
    <row r="125" spans="1:6" x14ac:dyDescent="0.25">
      <c r="A125" s="13">
        <v>55</v>
      </c>
      <c r="B125" s="14">
        <v>14</v>
      </c>
      <c r="C125" s="14" t="s">
        <v>8</v>
      </c>
      <c r="D125" s="13" t="s">
        <v>225</v>
      </c>
      <c r="E125" s="14"/>
      <c r="F125" s="14"/>
    </row>
    <row r="126" spans="1:6" x14ac:dyDescent="0.25">
      <c r="A126" s="15">
        <v>55</v>
      </c>
      <c r="B126" s="16">
        <v>14</v>
      </c>
      <c r="C126" s="16" t="s">
        <v>8</v>
      </c>
      <c r="D126" s="15" t="s">
        <v>226</v>
      </c>
      <c r="E126" s="16"/>
      <c r="F126" s="16"/>
    </row>
    <row r="127" spans="1:6" ht="15.75" thickBot="1" x14ac:dyDescent="0.3">
      <c r="A127" s="17">
        <v>55</v>
      </c>
      <c r="B127" s="18">
        <v>14</v>
      </c>
      <c r="C127" s="18" t="s">
        <v>8</v>
      </c>
      <c r="D127" s="17" t="s">
        <v>227</v>
      </c>
      <c r="E127" s="18"/>
      <c r="F127" s="1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61BC-FFAF-4A71-AD42-234504CB80EC}">
  <sheetPr>
    <tabColor theme="8" tint="0.59999389629810485"/>
  </sheetPr>
  <dimension ref="A1:D43"/>
  <sheetViews>
    <sheetView workbookViewId="0">
      <selection activeCell="H17" sqref="H17"/>
    </sheetView>
  </sheetViews>
  <sheetFormatPr defaultRowHeight="15" x14ac:dyDescent="0.25"/>
  <cols>
    <col min="1" max="2" width="8.85546875" style="4"/>
    <col min="3" max="3" width="15.5703125" style="4" customWidth="1"/>
    <col min="4" max="4" width="17.7109375" style="4" customWidth="1"/>
    <col min="5" max="5" width="11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461</v>
      </c>
    </row>
    <row r="2" spans="1:4" x14ac:dyDescent="0.25">
      <c r="A2" s="4">
        <v>1</v>
      </c>
      <c r="B2" s="4">
        <v>1</v>
      </c>
      <c r="C2" s="4" t="s">
        <v>5</v>
      </c>
      <c r="D2" s="4">
        <v>1.0266999999999999</v>
      </c>
    </row>
    <row r="3" spans="1:4" x14ac:dyDescent="0.25">
      <c r="A3" s="4">
        <v>8</v>
      </c>
      <c r="B3" s="4">
        <v>2</v>
      </c>
      <c r="C3" s="4" t="s">
        <v>5</v>
      </c>
      <c r="D3" s="4">
        <v>1.0429999999999999</v>
      </c>
    </row>
    <row r="4" spans="1:4" x14ac:dyDescent="0.25">
      <c r="A4" s="4">
        <v>11</v>
      </c>
      <c r="B4" s="4">
        <v>3</v>
      </c>
      <c r="C4" s="4" t="s">
        <v>5</v>
      </c>
      <c r="D4" s="4">
        <v>1.0152000000000001</v>
      </c>
    </row>
    <row r="5" spans="1:4" x14ac:dyDescent="0.25">
      <c r="A5" s="4">
        <v>16</v>
      </c>
      <c r="B5" s="4">
        <v>4</v>
      </c>
      <c r="C5" s="4" t="s">
        <v>5</v>
      </c>
      <c r="D5" s="4">
        <v>1.0147999999999999</v>
      </c>
    </row>
    <row r="6" spans="1:4" x14ac:dyDescent="0.25">
      <c r="A6" s="4">
        <v>20</v>
      </c>
      <c r="B6" s="4">
        <v>5</v>
      </c>
      <c r="C6" s="4" t="s">
        <v>5</v>
      </c>
      <c r="D6" s="4">
        <v>1.0284</v>
      </c>
    </row>
    <row r="7" spans="1:4" x14ac:dyDescent="0.25">
      <c r="A7" s="4">
        <v>21</v>
      </c>
      <c r="B7" s="4">
        <v>6</v>
      </c>
      <c r="C7" s="4" t="s">
        <v>5</v>
      </c>
      <c r="D7" s="4">
        <v>1.0073000000000001</v>
      </c>
    </row>
    <row r="8" spans="1:4" x14ac:dyDescent="0.25">
      <c r="A8" s="4">
        <v>28</v>
      </c>
      <c r="B8" s="4">
        <v>7</v>
      </c>
      <c r="C8" s="4" t="s">
        <v>5</v>
      </c>
      <c r="D8" s="4">
        <v>1.0257000000000001</v>
      </c>
    </row>
    <row r="9" spans="1:4" x14ac:dyDescent="0.25">
      <c r="A9" s="4">
        <v>29</v>
      </c>
      <c r="B9" s="4">
        <v>8</v>
      </c>
      <c r="C9" s="4" t="s">
        <v>5</v>
      </c>
      <c r="D9" s="4">
        <v>1.0416000000000001</v>
      </c>
    </row>
    <row r="10" spans="1:4" x14ac:dyDescent="0.25">
      <c r="A10" s="4">
        <v>36</v>
      </c>
      <c r="B10" s="4">
        <v>9</v>
      </c>
      <c r="C10" s="4" t="s">
        <v>5</v>
      </c>
      <c r="D10" s="4">
        <v>1.0188999999999999</v>
      </c>
    </row>
    <row r="11" spans="1:4" x14ac:dyDescent="0.25">
      <c r="A11" s="4">
        <v>40</v>
      </c>
      <c r="B11" s="4">
        <v>10</v>
      </c>
      <c r="C11" s="4" t="s">
        <v>5</v>
      </c>
      <c r="D11" s="4">
        <v>1.0403</v>
      </c>
    </row>
    <row r="12" spans="1:4" x14ac:dyDescent="0.25">
      <c r="A12" s="4">
        <v>43</v>
      </c>
      <c r="B12" s="4">
        <v>11</v>
      </c>
      <c r="C12" s="4" t="s">
        <v>5</v>
      </c>
      <c r="D12" s="4">
        <v>1.0250999999999999</v>
      </c>
    </row>
    <row r="13" spans="1:4" x14ac:dyDescent="0.25">
      <c r="A13" s="4">
        <v>47</v>
      </c>
      <c r="B13" s="4">
        <v>12</v>
      </c>
      <c r="C13" s="4" t="s">
        <v>5</v>
      </c>
      <c r="D13" s="4">
        <v>1.0182</v>
      </c>
    </row>
    <row r="14" spans="1:4" x14ac:dyDescent="0.25">
      <c r="A14" s="4">
        <v>52</v>
      </c>
      <c r="B14" s="4">
        <v>13</v>
      </c>
      <c r="C14" s="4" t="s">
        <v>5</v>
      </c>
      <c r="D14" s="4">
        <v>1.0255000000000001</v>
      </c>
    </row>
    <row r="15" spans="1:4" x14ac:dyDescent="0.25">
      <c r="A15" s="4">
        <v>54</v>
      </c>
      <c r="B15" s="4">
        <v>14</v>
      </c>
      <c r="C15" s="4" t="s">
        <v>5</v>
      </c>
      <c r="D15" s="4">
        <v>1.0367999999999999</v>
      </c>
    </row>
    <row r="16" spans="1:4" x14ac:dyDescent="0.25">
      <c r="A16" s="4">
        <v>3</v>
      </c>
      <c r="B16" s="4">
        <v>1</v>
      </c>
      <c r="C16" s="4" t="s">
        <v>7</v>
      </c>
      <c r="D16" s="4">
        <v>1.0307999999999999</v>
      </c>
    </row>
    <row r="17" spans="1:4" x14ac:dyDescent="0.25">
      <c r="A17" s="4">
        <v>7</v>
      </c>
      <c r="B17" s="4">
        <v>2</v>
      </c>
      <c r="C17" s="4" t="s">
        <v>7</v>
      </c>
      <c r="D17" s="4">
        <v>1.036</v>
      </c>
    </row>
    <row r="18" spans="1:4" x14ac:dyDescent="0.25">
      <c r="A18" s="4">
        <v>9</v>
      </c>
      <c r="B18" s="4">
        <v>3</v>
      </c>
      <c r="C18" s="4" t="s">
        <v>7</v>
      </c>
      <c r="D18" s="4">
        <v>1.0331999999999999</v>
      </c>
    </row>
    <row r="19" spans="1:4" x14ac:dyDescent="0.25">
      <c r="A19" s="4">
        <v>15</v>
      </c>
      <c r="B19" s="4">
        <v>4</v>
      </c>
      <c r="C19" s="4" t="s">
        <v>7</v>
      </c>
      <c r="D19" s="4">
        <v>1.0277000000000001</v>
      </c>
    </row>
    <row r="20" spans="1:4" x14ac:dyDescent="0.25">
      <c r="A20" s="4">
        <v>18</v>
      </c>
      <c r="B20" s="4">
        <v>5</v>
      </c>
      <c r="C20" s="4" t="s">
        <v>7</v>
      </c>
      <c r="D20" s="4">
        <v>1.0396000000000001</v>
      </c>
    </row>
    <row r="21" spans="1:4" x14ac:dyDescent="0.25">
      <c r="A21" s="4">
        <v>22</v>
      </c>
      <c r="B21" s="4">
        <v>6</v>
      </c>
      <c r="C21" s="4" t="s">
        <v>7</v>
      </c>
      <c r="D21" s="4">
        <v>1.0255000000000001</v>
      </c>
    </row>
    <row r="22" spans="1:4" x14ac:dyDescent="0.25">
      <c r="A22" s="4">
        <v>25</v>
      </c>
      <c r="B22" s="4">
        <v>7</v>
      </c>
      <c r="C22" s="4" t="s">
        <v>7</v>
      </c>
      <c r="D22" s="4">
        <v>1.0295000000000001</v>
      </c>
    </row>
    <row r="23" spans="1:4" x14ac:dyDescent="0.25">
      <c r="A23" s="4">
        <v>32</v>
      </c>
      <c r="B23" s="4">
        <v>8</v>
      </c>
      <c r="C23" s="4" t="s">
        <v>7</v>
      </c>
      <c r="D23" s="4">
        <v>1.0462</v>
      </c>
    </row>
    <row r="24" spans="1:4" x14ac:dyDescent="0.25">
      <c r="A24" s="4">
        <v>35</v>
      </c>
      <c r="B24" s="4">
        <v>9</v>
      </c>
      <c r="C24" s="4" t="s">
        <v>7</v>
      </c>
      <c r="D24" s="4">
        <v>1.0427999999999999</v>
      </c>
    </row>
    <row r="25" spans="1:4" x14ac:dyDescent="0.25">
      <c r="A25" s="4">
        <v>37</v>
      </c>
      <c r="B25" s="4">
        <v>10</v>
      </c>
      <c r="C25" s="4" t="s">
        <v>7</v>
      </c>
      <c r="D25" s="4">
        <v>1.0254000000000001</v>
      </c>
    </row>
    <row r="26" spans="1:4" x14ac:dyDescent="0.25">
      <c r="A26" s="4">
        <v>42</v>
      </c>
      <c r="B26" s="4">
        <v>11</v>
      </c>
      <c r="C26" s="4" t="s">
        <v>7</v>
      </c>
      <c r="D26" s="4">
        <v>1.0205</v>
      </c>
    </row>
    <row r="27" spans="1:4" x14ac:dyDescent="0.25">
      <c r="A27" s="4">
        <v>45</v>
      </c>
      <c r="B27" s="4">
        <v>12</v>
      </c>
      <c r="C27" s="4" t="s">
        <v>7</v>
      </c>
      <c r="D27" s="4">
        <v>1.0186999999999999</v>
      </c>
    </row>
    <row r="28" spans="1:4" x14ac:dyDescent="0.25">
      <c r="A28" s="4">
        <v>51</v>
      </c>
      <c r="B28" s="4">
        <v>13</v>
      </c>
      <c r="C28" s="4" t="s">
        <v>7</v>
      </c>
      <c r="D28" s="4">
        <v>1.0199</v>
      </c>
    </row>
    <row r="29" spans="1:4" x14ac:dyDescent="0.25">
      <c r="A29" s="4">
        <v>56</v>
      </c>
      <c r="B29" s="4">
        <v>14</v>
      </c>
      <c r="C29" s="4" t="s">
        <v>7</v>
      </c>
      <c r="D29" s="4">
        <v>1.0405</v>
      </c>
    </row>
    <row r="30" spans="1:4" x14ac:dyDescent="0.25">
      <c r="A30" s="4">
        <v>4</v>
      </c>
      <c r="B30" s="4">
        <v>1</v>
      </c>
      <c r="C30" s="4" t="s">
        <v>8</v>
      </c>
      <c r="D30" s="4">
        <v>1.0198</v>
      </c>
    </row>
    <row r="31" spans="1:4" x14ac:dyDescent="0.25">
      <c r="A31" s="4">
        <v>6</v>
      </c>
      <c r="B31" s="4">
        <v>2</v>
      </c>
      <c r="C31" s="4" t="s">
        <v>8</v>
      </c>
      <c r="D31" s="4">
        <v>1.0374000000000001</v>
      </c>
    </row>
    <row r="32" spans="1:4" x14ac:dyDescent="0.25">
      <c r="A32" s="4">
        <v>10</v>
      </c>
      <c r="B32" s="4">
        <v>3</v>
      </c>
      <c r="C32" s="4" t="s">
        <v>8</v>
      </c>
      <c r="D32" s="4">
        <v>1.0412999999999999</v>
      </c>
    </row>
    <row r="33" spans="1:4" x14ac:dyDescent="0.25">
      <c r="A33" s="4">
        <v>13</v>
      </c>
      <c r="B33" s="4">
        <v>4</v>
      </c>
      <c r="C33" s="4" t="s">
        <v>8</v>
      </c>
      <c r="D33" s="4">
        <v>1.0411999999999999</v>
      </c>
    </row>
    <row r="34" spans="1:4" x14ac:dyDescent="0.25">
      <c r="A34" s="4">
        <v>19</v>
      </c>
      <c r="B34" s="4">
        <v>5</v>
      </c>
      <c r="C34" s="4" t="s">
        <v>8</v>
      </c>
      <c r="D34" s="4">
        <v>1.0394000000000001</v>
      </c>
    </row>
    <row r="35" spans="1:4" x14ac:dyDescent="0.25">
      <c r="A35" s="4">
        <v>23</v>
      </c>
      <c r="B35" s="4">
        <v>6</v>
      </c>
      <c r="C35" s="4" t="s">
        <v>8</v>
      </c>
      <c r="D35" s="4">
        <v>1.0185</v>
      </c>
    </row>
    <row r="36" spans="1:4" x14ac:dyDescent="0.25">
      <c r="A36" s="4">
        <v>27</v>
      </c>
      <c r="B36" s="4">
        <v>7</v>
      </c>
      <c r="C36" s="4" t="s">
        <v>8</v>
      </c>
      <c r="D36" s="4">
        <v>1.0371999999999999</v>
      </c>
    </row>
    <row r="37" spans="1:4" x14ac:dyDescent="0.25">
      <c r="A37" s="4">
        <v>30</v>
      </c>
      <c r="B37" s="4">
        <v>8</v>
      </c>
      <c r="C37" s="4" t="s">
        <v>8</v>
      </c>
      <c r="D37" s="4">
        <v>1.0407999999999999</v>
      </c>
    </row>
    <row r="38" spans="1:4" x14ac:dyDescent="0.25">
      <c r="A38" s="4">
        <v>33</v>
      </c>
      <c r="B38" s="4">
        <v>9</v>
      </c>
      <c r="C38" s="4" t="s">
        <v>8</v>
      </c>
      <c r="D38" s="4">
        <v>1.0290999999999999</v>
      </c>
    </row>
    <row r="39" spans="1:4" x14ac:dyDescent="0.25">
      <c r="A39" s="4">
        <v>39</v>
      </c>
      <c r="B39" s="4">
        <v>10</v>
      </c>
      <c r="C39" s="4" t="s">
        <v>8</v>
      </c>
      <c r="D39" s="4">
        <v>1.0183</v>
      </c>
    </row>
    <row r="40" spans="1:4" x14ac:dyDescent="0.25">
      <c r="A40" s="4">
        <v>44</v>
      </c>
      <c r="B40" s="4">
        <v>11</v>
      </c>
      <c r="C40" s="4" t="s">
        <v>8</v>
      </c>
      <c r="D40" s="4">
        <v>1.0444</v>
      </c>
    </row>
    <row r="41" spans="1:4" x14ac:dyDescent="0.25">
      <c r="A41" s="4">
        <v>48</v>
      </c>
      <c r="B41" s="4">
        <v>12</v>
      </c>
      <c r="C41" s="4" t="s">
        <v>8</v>
      </c>
      <c r="D41" s="4">
        <v>1.0287999999999999</v>
      </c>
    </row>
    <row r="42" spans="1:4" x14ac:dyDescent="0.25">
      <c r="A42" s="4">
        <v>50</v>
      </c>
      <c r="B42" s="4">
        <v>13</v>
      </c>
      <c r="C42" s="4" t="s">
        <v>8</v>
      </c>
      <c r="D42" s="4">
        <v>1.0069999999999999</v>
      </c>
    </row>
    <row r="43" spans="1:4" x14ac:dyDescent="0.25">
      <c r="A43" s="4">
        <v>55</v>
      </c>
      <c r="B43" s="4">
        <v>14</v>
      </c>
      <c r="C43" s="4" t="s">
        <v>8</v>
      </c>
      <c r="D43" s="4">
        <v>1.0277000000000001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0785-25B4-4F16-A19A-AF6DF97DC01F}">
  <sheetPr>
    <tabColor theme="9"/>
  </sheetPr>
  <dimension ref="A1:K20"/>
  <sheetViews>
    <sheetView zoomScale="140" zoomScaleNormal="140" workbookViewId="0">
      <selection activeCell="E21" sqref="E21"/>
    </sheetView>
  </sheetViews>
  <sheetFormatPr defaultRowHeight="15" x14ac:dyDescent="0.25"/>
  <cols>
    <col min="1" max="1" width="9.140625" style="4"/>
    <col min="2" max="2" width="13.28515625" style="4" customWidth="1"/>
    <col min="3" max="3" width="43.7109375" style="4" customWidth="1"/>
    <col min="4" max="5" width="15.85546875" style="4" customWidth="1"/>
    <col min="6" max="6" width="15.7109375" style="4" customWidth="1"/>
    <col min="7" max="8" width="13.42578125" style="4" customWidth="1"/>
    <col min="9" max="10" width="16.5703125" style="4" customWidth="1"/>
    <col min="11" max="11" width="55" style="5" customWidth="1"/>
  </cols>
  <sheetData>
    <row r="1" spans="1:11" s="2" customFormat="1" x14ac:dyDescent="0.25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32</v>
      </c>
      <c r="H1" s="1" t="s">
        <v>250</v>
      </c>
      <c r="I1" s="1" t="s">
        <v>251</v>
      </c>
      <c r="J1" s="1" t="s">
        <v>252</v>
      </c>
      <c r="K1" s="1" t="s">
        <v>253</v>
      </c>
    </row>
    <row r="2" spans="1:11" x14ac:dyDescent="0.25">
      <c r="A2" s="22" t="s">
        <v>254</v>
      </c>
      <c r="B2" s="4" t="s">
        <v>255</v>
      </c>
      <c r="C2" s="4" t="s">
        <v>256</v>
      </c>
      <c r="D2" s="4" t="s">
        <v>257</v>
      </c>
      <c r="F2" s="4" t="s">
        <v>258</v>
      </c>
      <c r="G2" s="4">
        <v>12</v>
      </c>
      <c r="H2" s="4" t="s">
        <v>259</v>
      </c>
      <c r="I2" s="23">
        <v>272</v>
      </c>
      <c r="K2" s="24" t="s">
        <v>260</v>
      </c>
    </row>
    <row r="3" spans="1:11" x14ac:dyDescent="0.25">
      <c r="A3" s="22" t="s">
        <v>254</v>
      </c>
      <c r="B3" s="4" t="s">
        <v>255</v>
      </c>
      <c r="C3" s="4" t="s">
        <v>261</v>
      </c>
      <c r="D3" s="4" t="s">
        <v>262</v>
      </c>
      <c r="F3" s="4" t="s">
        <v>263</v>
      </c>
      <c r="G3" s="4">
        <v>100</v>
      </c>
      <c r="H3" s="4" t="s">
        <v>264</v>
      </c>
      <c r="I3" s="23">
        <v>88.24</v>
      </c>
      <c r="K3" s="24" t="s">
        <v>265</v>
      </c>
    </row>
    <row r="4" spans="1:11" x14ac:dyDescent="0.25">
      <c r="B4" s="4" t="s">
        <v>255</v>
      </c>
      <c r="C4" s="4" t="s">
        <v>266</v>
      </c>
      <c r="D4" s="4" t="s">
        <v>267</v>
      </c>
      <c r="F4" s="4" t="s">
        <v>268</v>
      </c>
      <c r="G4" s="4">
        <v>60</v>
      </c>
      <c r="H4" s="4" t="s">
        <v>269</v>
      </c>
      <c r="I4" s="23">
        <v>76.22</v>
      </c>
      <c r="K4" s="5" t="s">
        <v>270</v>
      </c>
    </row>
    <row r="5" spans="1:11" x14ac:dyDescent="0.25">
      <c r="A5" s="22" t="s">
        <v>254</v>
      </c>
      <c r="B5" s="4" t="s">
        <v>255</v>
      </c>
      <c r="C5" s="4" t="s">
        <v>271</v>
      </c>
      <c r="D5" s="4" t="s">
        <v>272</v>
      </c>
      <c r="F5" s="4" t="s">
        <v>258</v>
      </c>
      <c r="G5" s="4">
        <v>100</v>
      </c>
      <c r="H5" s="4" t="s">
        <v>259</v>
      </c>
      <c r="I5" s="23">
        <v>231</v>
      </c>
      <c r="K5" s="24" t="s">
        <v>273</v>
      </c>
    </row>
    <row r="6" spans="1:11" x14ac:dyDescent="0.25">
      <c r="A6" s="22" t="s">
        <v>254</v>
      </c>
      <c r="B6" s="4" t="s">
        <v>274</v>
      </c>
      <c r="C6" s="4" t="s">
        <v>275</v>
      </c>
      <c r="D6" s="4">
        <v>47014</v>
      </c>
      <c r="E6" s="4">
        <v>53</v>
      </c>
      <c r="F6" s="4" t="s">
        <v>276</v>
      </c>
      <c r="G6" s="4">
        <v>100</v>
      </c>
      <c r="H6" s="4" t="s">
        <v>277</v>
      </c>
      <c r="I6" s="23">
        <v>826</v>
      </c>
    </row>
    <row r="7" spans="1:11" x14ac:dyDescent="0.25">
      <c r="B7" s="4" t="s">
        <v>274</v>
      </c>
      <c r="C7" s="4" t="s">
        <v>278</v>
      </c>
      <c r="D7" s="4">
        <v>72695200</v>
      </c>
      <c r="E7" s="4">
        <v>18</v>
      </c>
      <c r="F7" s="4" t="s">
        <v>279</v>
      </c>
      <c r="G7" s="4">
        <v>250</v>
      </c>
      <c r="H7" s="4" t="s">
        <v>277</v>
      </c>
      <c r="I7" s="23">
        <v>26.15</v>
      </c>
    </row>
    <row r="8" spans="1:11" x14ac:dyDescent="0.25">
      <c r="B8" s="4" t="s">
        <v>274</v>
      </c>
      <c r="C8" s="4" t="s">
        <v>280</v>
      </c>
      <c r="D8" s="25">
        <v>72706200</v>
      </c>
      <c r="E8" s="25">
        <v>16</v>
      </c>
      <c r="F8" s="4" t="s">
        <v>279</v>
      </c>
      <c r="G8" s="4">
        <v>250</v>
      </c>
      <c r="H8" s="4" t="s">
        <v>277</v>
      </c>
      <c r="I8" s="23">
        <v>13.1</v>
      </c>
    </row>
    <row r="9" spans="1:11" x14ac:dyDescent="0.25">
      <c r="B9" s="4" t="s">
        <v>274</v>
      </c>
      <c r="C9" s="4" t="s">
        <v>281</v>
      </c>
      <c r="D9" s="4">
        <v>129114</v>
      </c>
      <c r="E9" s="4">
        <v>23</v>
      </c>
      <c r="F9" s="4" t="s">
        <v>276</v>
      </c>
      <c r="G9" s="4" t="s">
        <v>282</v>
      </c>
      <c r="I9" s="23">
        <v>166.05</v>
      </c>
    </row>
    <row r="10" spans="1:11" x14ac:dyDescent="0.25">
      <c r="A10" s="22" t="s">
        <v>254</v>
      </c>
      <c r="B10" s="4" t="s">
        <v>274</v>
      </c>
      <c r="C10" s="4" t="s">
        <v>283</v>
      </c>
      <c r="D10" s="4" t="s">
        <v>284</v>
      </c>
      <c r="H10" s="4" t="s">
        <v>285</v>
      </c>
      <c r="I10" s="23">
        <v>145</v>
      </c>
      <c r="K10" s="5" t="s">
        <v>286</v>
      </c>
    </row>
    <row r="11" spans="1:11" x14ac:dyDescent="0.25">
      <c r="I11" s="23"/>
    </row>
    <row r="12" spans="1:11" x14ac:dyDescent="0.25">
      <c r="I12" s="23"/>
    </row>
    <row r="13" spans="1:11" x14ac:dyDescent="0.25">
      <c r="I13" s="23"/>
    </row>
    <row r="14" spans="1:11" x14ac:dyDescent="0.25">
      <c r="I14" s="23"/>
    </row>
    <row r="15" spans="1:11" x14ac:dyDescent="0.25">
      <c r="I15" s="23"/>
    </row>
    <row r="16" spans="1:11" x14ac:dyDescent="0.25">
      <c r="I16" s="23"/>
    </row>
    <row r="17" spans="9:9" x14ac:dyDescent="0.25">
      <c r="I17" s="23"/>
    </row>
    <row r="18" spans="9:9" x14ac:dyDescent="0.25">
      <c r="I18" s="23"/>
    </row>
    <row r="19" spans="9:9" x14ac:dyDescent="0.25">
      <c r="I19" s="23"/>
    </row>
    <row r="20" spans="9:9" x14ac:dyDescent="0.25">
      <c r="I20" s="23"/>
    </row>
  </sheetData>
  <hyperlinks>
    <hyperlink ref="K2" r:id="rId1" xr:uid="{03C818FF-5839-456D-9A46-37938EFAEB51}"/>
    <hyperlink ref="K5" r:id="rId2" xr:uid="{24153A73-CD45-4110-8960-D28A0474627C}"/>
    <hyperlink ref="K3" r:id="rId3" xr:uid="{5F5FAD26-FCFA-41B6-B9A3-23FFFBB7F588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659C-F43B-47C8-B6E9-B10B8F3A16D5}">
  <sheetPr>
    <tabColor theme="6"/>
    <pageSetUpPr fitToPage="1"/>
  </sheetPr>
  <dimension ref="A1:L61"/>
  <sheetViews>
    <sheetView workbookViewId="0">
      <pane xSplit="1" ySplit="1" topLeftCell="B38" activePane="bottomRight" state="frozen"/>
      <selection pane="topRight" activeCell="B1" sqref="B1"/>
      <selection pane="bottomLeft" activeCell="A2" sqref="A2"/>
      <selection pane="bottomRight" activeCell="B58" sqref="B58:B61"/>
    </sheetView>
  </sheetViews>
  <sheetFormatPr defaultRowHeight="15" x14ac:dyDescent="0.25"/>
  <cols>
    <col min="1" max="3" width="9.85546875" style="4" customWidth="1"/>
    <col min="4" max="4" width="13.7109375" style="4" customWidth="1"/>
    <col min="5" max="5" width="13.85546875" style="4" customWidth="1"/>
    <col min="6" max="6" width="11.7109375" style="4" customWidth="1"/>
    <col min="7" max="7" width="8.5703125" style="4" customWidth="1"/>
    <col min="8" max="8" width="10.140625" style="4" customWidth="1"/>
    <col min="9" max="9" width="16.7109375" style="4" customWidth="1"/>
    <col min="10" max="10" width="15.42578125" style="4" customWidth="1"/>
    <col min="11" max="11" width="17.140625" style="4" customWidth="1"/>
  </cols>
  <sheetData>
    <row r="1" spans="1:11" x14ac:dyDescent="0.25">
      <c r="A1" s="9" t="s">
        <v>0</v>
      </c>
      <c r="B1" s="9" t="s">
        <v>1</v>
      </c>
      <c r="C1" s="9" t="s">
        <v>456</v>
      </c>
      <c r="D1" s="9" t="s">
        <v>2</v>
      </c>
      <c r="E1" s="9" t="s">
        <v>4</v>
      </c>
      <c r="F1" s="9" t="s">
        <v>75</v>
      </c>
      <c r="G1" s="9" t="s">
        <v>74</v>
      </c>
      <c r="H1" s="9" t="s">
        <v>73</v>
      </c>
      <c r="I1" s="9" t="s">
        <v>464</v>
      </c>
      <c r="J1" s="9" t="s">
        <v>465</v>
      </c>
      <c r="K1" s="9" t="s">
        <v>466</v>
      </c>
    </row>
    <row r="2" spans="1:11" x14ac:dyDescent="0.25">
      <c r="A2" s="8">
        <v>1</v>
      </c>
      <c r="B2" s="8">
        <v>1</v>
      </c>
      <c r="C2" s="8">
        <v>1</v>
      </c>
      <c r="D2" s="8" t="s">
        <v>5</v>
      </c>
      <c r="E2" s="8">
        <v>1</v>
      </c>
      <c r="F2" s="8" t="str">
        <f>IF(D2="Brevicoryne","Bb",
IF(D2="Control","Ctr",
IF(D2="Myzus","Mp",
IF(D2="Lipaphis","Le",""))))</f>
        <v>Bb</v>
      </c>
      <c r="G2" s="8" t="s">
        <v>68</v>
      </c>
      <c r="H2" s="8" t="s">
        <v>67</v>
      </c>
      <c r="I2" s="4">
        <v>14.590999999999999</v>
      </c>
      <c r="J2" s="4">
        <v>15.487</v>
      </c>
      <c r="K2" s="4">
        <v>0.1037</v>
      </c>
    </row>
    <row r="3" spans="1:11" x14ac:dyDescent="0.25">
      <c r="A3" s="8">
        <v>2</v>
      </c>
      <c r="B3" s="8">
        <v>1</v>
      </c>
      <c r="C3" s="8">
        <v>1</v>
      </c>
      <c r="D3" s="8" t="s">
        <v>6</v>
      </c>
      <c r="E3" s="8">
        <v>2</v>
      </c>
      <c r="F3" s="8" t="str">
        <f t="shared" ref="F3:F57" si="0">IF(D3="Brevicoryne","Bb",
IF(D3="Control","Ctr",
IF(D3="Myzus","Mp",
IF(D3="Lipaphis","Le",""))))</f>
        <v>Ctr</v>
      </c>
      <c r="G3" s="8" t="s">
        <v>68</v>
      </c>
      <c r="H3" s="8" t="s">
        <v>67</v>
      </c>
      <c r="I3" s="4">
        <v>14.4588</v>
      </c>
      <c r="J3" s="4">
        <v>15.344099999999999</v>
      </c>
      <c r="K3" s="4">
        <v>0.26500000000000001</v>
      </c>
    </row>
    <row r="4" spans="1:11" x14ac:dyDescent="0.25">
      <c r="A4" s="8">
        <v>3</v>
      </c>
      <c r="B4" s="8">
        <v>1</v>
      </c>
      <c r="C4" s="8">
        <v>1</v>
      </c>
      <c r="D4" s="8" t="s">
        <v>7</v>
      </c>
      <c r="E4" s="8">
        <v>3</v>
      </c>
      <c r="F4" s="8" t="str">
        <f t="shared" si="0"/>
        <v>Le</v>
      </c>
      <c r="G4" s="8" t="s">
        <v>68</v>
      </c>
      <c r="H4" s="8" t="s">
        <v>67</v>
      </c>
      <c r="I4" s="4">
        <v>14.510400000000001</v>
      </c>
      <c r="J4" s="4">
        <v>15.3405</v>
      </c>
      <c r="K4" s="4">
        <v>0.17</v>
      </c>
    </row>
    <row r="5" spans="1:11" x14ac:dyDescent="0.25">
      <c r="A5" s="8">
        <v>4</v>
      </c>
      <c r="B5" s="8">
        <v>1</v>
      </c>
      <c r="C5" s="8">
        <v>1</v>
      </c>
      <c r="D5" s="8" t="s">
        <v>8</v>
      </c>
      <c r="E5" s="8">
        <v>4</v>
      </c>
      <c r="F5" s="8" t="str">
        <f t="shared" si="0"/>
        <v>Mp</v>
      </c>
      <c r="G5" s="8" t="s">
        <v>68</v>
      </c>
      <c r="H5" s="8" t="s">
        <v>67</v>
      </c>
      <c r="I5" s="4">
        <v>15.510899999999999</v>
      </c>
      <c r="J5" s="4">
        <v>15.352</v>
      </c>
      <c r="K5" s="4">
        <v>0.30659999999999998</v>
      </c>
    </row>
    <row r="6" spans="1:11" x14ac:dyDescent="0.25">
      <c r="A6" s="8">
        <v>5</v>
      </c>
      <c r="B6" s="8">
        <v>2</v>
      </c>
      <c r="C6" s="8">
        <v>1</v>
      </c>
      <c r="D6" s="8" t="s">
        <v>6</v>
      </c>
      <c r="E6" s="8">
        <v>1</v>
      </c>
      <c r="F6" s="8" t="str">
        <f t="shared" si="0"/>
        <v>Ctr</v>
      </c>
      <c r="G6" s="8" t="s">
        <v>68</v>
      </c>
      <c r="H6" s="8" t="s">
        <v>67</v>
      </c>
      <c r="I6" s="4">
        <v>14.590199999999999</v>
      </c>
      <c r="J6" s="4">
        <v>15.313000000000001</v>
      </c>
      <c r="K6" s="4">
        <v>0.25600000000000001</v>
      </c>
    </row>
    <row r="7" spans="1:11" x14ac:dyDescent="0.25">
      <c r="A7" s="8">
        <v>6</v>
      </c>
      <c r="B7" s="8">
        <v>2</v>
      </c>
      <c r="C7" s="8">
        <v>1</v>
      </c>
      <c r="D7" s="8" t="s">
        <v>8</v>
      </c>
      <c r="E7" s="8">
        <v>2</v>
      </c>
      <c r="F7" s="8" t="str">
        <f t="shared" si="0"/>
        <v>Mp</v>
      </c>
      <c r="G7" s="8" t="s">
        <v>68</v>
      </c>
      <c r="H7" s="8" t="s">
        <v>67</v>
      </c>
      <c r="I7" s="4">
        <v>14.508100000000001</v>
      </c>
      <c r="J7" s="4">
        <v>15.2851</v>
      </c>
      <c r="K7" s="4">
        <v>0.26900000000000002</v>
      </c>
    </row>
    <row r="8" spans="1:11" x14ac:dyDescent="0.25">
      <c r="A8" s="8">
        <v>7</v>
      </c>
      <c r="B8" s="8">
        <v>2</v>
      </c>
      <c r="C8" s="8">
        <v>1</v>
      </c>
      <c r="D8" s="8" t="s">
        <v>7</v>
      </c>
      <c r="E8" s="8">
        <v>3</v>
      </c>
      <c r="F8" s="8" t="str">
        <f t="shared" si="0"/>
        <v>Le</v>
      </c>
      <c r="G8" s="8" t="s">
        <v>68</v>
      </c>
      <c r="H8" s="8" t="s">
        <v>67</v>
      </c>
      <c r="I8" s="4">
        <v>14.464</v>
      </c>
      <c r="J8" s="4">
        <v>15.1486</v>
      </c>
      <c r="K8" s="4">
        <v>0.30630000000000002</v>
      </c>
    </row>
    <row r="9" spans="1:11" x14ac:dyDescent="0.25">
      <c r="A9" s="8">
        <v>8</v>
      </c>
      <c r="B9" s="8">
        <v>2</v>
      </c>
      <c r="C9" s="8">
        <v>1</v>
      </c>
      <c r="D9" s="8" t="s">
        <v>5</v>
      </c>
      <c r="E9" s="8">
        <v>4</v>
      </c>
      <c r="F9" s="8" t="str">
        <f t="shared" si="0"/>
        <v>Bb</v>
      </c>
      <c r="G9" s="8" t="s">
        <v>68</v>
      </c>
      <c r="H9" s="8" t="s">
        <v>67</v>
      </c>
      <c r="I9" s="4">
        <v>14.589399999999999</v>
      </c>
      <c r="J9" s="4">
        <v>15.679399999999999</v>
      </c>
      <c r="K9" s="4">
        <v>0.3</v>
      </c>
    </row>
    <row r="10" spans="1:11" x14ac:dyDescent="0.25">
      <c r="A10" s="8">
        <v>9</v>
      </c>
      <c r="B10" s="8">
        <v>3</v>
      </c>
      <c r="C10" s="8">
        <v>1</v>
      </c>
      <c r="D10" s="8" t="s">
        <v>7</v>
      </c>
      <c r="E10" s="8">
        <v>1</v>
      </c>
      <c r="F10" s="8" t="str">
        <f t="shared" si="0"/>
        <v>Le</v>
      </c>
      <c r="G10" s="8" t="s">
        <v>68</v>
      </c>
      <c r="H10" s="8" t="s">
        <v>67</v>
      </c>
      <c r="I10" s="4">
        <v>14.477</v>
      </c>
      <c r="J10" s="4">
        <v>15.3344</v>
      </c>
      <c r="K10" s="4">
        <v>0.31080000000000002</v>
      </c>
    </row>
    <row r="11" spans="1:11" x14ac:dyDescent="0.25">
      <c r="A11" s="8">
        <v>10</v>
      </c>
      <c r="B11" s="8">
        <v>3</v>
      </c>
      <c r="C11" s="8">
        <v>1</v>
      </c>
      <c r="D11" s="8" t="s">
        <v>8</v>
      </c>
      <c r="E11" s="8">
        <v>2</v>
      </c>
      <c r="F11" s="8" t="str">
        <f t="shared" si="0"/>
        <v>Mp</v>
      </c>
      <c r="G11" s="8" t="s">
        <v>68</v>
      </c>
      <c r="H11" s="8" t="s">
        <v>67</v>
      </c>
      <c r="I11" s="4">
        <v>14.5913</v>
      </c>
      <c r="J11" s="4">
        <v>15.1913</v>
      </c>
      <c r="K11" s="4">
        <v>0.34</v>
      </c>
    </row>
    <row r="12" spans="1:11" x14ac:dyDescent="0.25">
      <c r="A12" s="8">
        <v>11</v>
      </c>
      <c r="B12" s="8">
        <v>3</v>
      </c>
      <c r="C12" s="8">
        <v>1</v>
      </c>
      <c r="D12" s="8" t="s">
        <v>5</v>
      </c>
      <c r="E12" s="8">
        <v>3</v>
      </c>
      <c r="F12" s="8" t="str">
        <f t="shared" si="0"/>
        <v>Bb</v>
      </c>
      <c r="G12" s="8" t="s">
        <v>68</v>
      </c>
      <c r="H12" s="8" t="s">
        <v>67</v>
      </c>
      <c r="I12" s="4">
        <v>14.514900000000001</v>
      </c>
      <c r="J12" s="4">
        <v>15.455299999999999</v>
      </c>
      <c r="K12" s="4">
        <v>0.31</v>
      </c>
    </row>
    <row r="13" spans="1:11" x14ac:dyDescent="0.25">
      <c r="A13" s="8">
        <v>12</v>
      </c>
      <c r="B13" s="8">
        <v>3</v>
      </c>
      <c r="C13" s="8">
        <v>1</v>
      </c>
      <c r="D13" s="8" t="s">
        <v>6</v>
      </c>
      <c r="E13" s="8">
        <v>4</v>
      </c>
      <c r="F13" s="8" t="str">
        <f t="shared" si="0"/>
        <v>Ctr</v>
      </c>
      <c r="G13" s="8" t="s">
        <v>68</v>
      </c>
      <c r="H13" s="8" t="s">
        <v>67</v>
      </c>
      <c r="I13" s="4">
        <v>14.329000000000001</v>
      </c>
      <c r="J13" s="4">
        <v>15.1745</v>
      </c>
      <c r="K13" s="4">
        <v>0.3392</v>
      </c>
    </row>
    <row r="14" spans="1:11" x14ac:dyDescent="0.25">
      <c r="A14" s="8">
        <v>13</v>
      </c>
      <c r="B14" s="8">
        <v>4</v>
      </c>
      <c r="C14" s="8">
        <v>2</v>
      </c>
      <c r="D14" s="8" t="s">
        <v>8</v>
      </c>
      <c r="E14" s="8">
        <v>1</v>
      </c>
      <c r="F14" s="8" t="str">
        <f t="shared" si="0"/>
        <v>Mp</v>
      </c>
      <c r="G14" s="8" t="s">
        <v>68</v>
      </c>
      <c r="H14" s="8" t="s">
        <v>67</v>
      </c>
      <c r="I14" s="4">
        <v>14.4064</v>
      </c>
      <c r="J14" s="4">
        <v>15.3041</v>
      </c>
      <c r="K14" s="4">
        <v>0.17369999999999999</v>
      </c>
    </row>
    <row r="15" spans="1:11" x14ac:dyDescent="0.25">
      <c r="A15" s="8">
        <v>14</v>
      </c>
      <c r="B15" s="8">
        <v>4</v>
      </c>
      <c r="C15" s="8">
        <v>2</v>
      </c>
      <c r="D15" s="8" t="s">
        <v>6</v>
      </c>
      <c r="E15" s="8">
        <v>2</v>
      </c>
      <c r="F15" s="8" t="str">
        <f t="shared" si="0"/>
        <v>Ctr</v>
      </c>
      <c r="G15" s="8" t="s">
        <v>68</v>
      </c>
      <c r="H15" s="8" t="s">
        <v>67</v>
      </c>
      <c r="I15" s="4">
        <v>14.574</v>
      </c>
      <c r="J15" s="4">
        <v>15.732100000000001</v>
      </c>
      <c r="K15" s="4">
        <v>0.23899999999999999</v>
      </c>
    </row>
    <row r="16" spans="1:11" x14ac:dyDescent="0.25">
      <c r="A16" s="8">
        <v>15</v>
      </c>
      <c r="B16" s="8">
        <v>4</v>
      </c>
      <c r="C16" s="8">
        <v>2</v>
      </c>
      <c r="D16" s="8" t="s">
        <v>7</v>
      </c>
      <c r="E16" s="8">
        <v>3</v>
      </c>
      <c r="F16" s="8" t="str">
        <f t="shared" si="0"/>
        <v>Le</v>
      </c>
      <c r="G16" s="8" t="s">
        <v>68</v>
      </c>
      <c r="H16" s="8" t="s">
        <v>67</v>
      </c>
      <c r="I16" s="4">
        <v>14.4352</v>
      </c>
      <c r="J16" s="4">
        <v>15.1403</v>
      </c>
    </row>
    <row r="17" spans="1:12" x14ac:dyDescent="0.25">
      <c r="A17" s="8">
        <v>16</v>
      </c>
      <c r="B17" s="8">
        <v>4</v>
      </c>
      <c r="C17" s="8">
        <v>2</v>
      </c>
      <c r="D17" s="8" t="s">
        <v>5</v>
      </c>
      <c r="E17" s="8">
        <v>4</v>
      </c>
      <c r="F17" s="8" t="str">
        <f t="shared" si="0"/>
        <v>Bb</v>
      </c>
      <c r="G17" s="8" t="s">
        <v>68</v>
      </c>
      <c r="H17" s="8" t="s">
        <v>67</v>
      </c>
      <c r="I17" s="4">
        <v>14.458</v>
      </c>
      <c r="J17" s="4">
        <v>15.358700000000001</v>
      </c>
      <c r="K17" s="4">
        <v>0.39689999999999998</v>
      </c>
    </row>
    <row r="18" spans="1:12" x14ac:dyDescent="0.25">
      <c r="A18" s="8">
        <v>17</v>
      </c>
      <c r="B18" s="8">
        <v>5</v>
      </c>
      <c r="C18" s="8">
        <v>2</v>
      </c>
      <c r="D18" s="8" t="s">
        <v>6</v>
      </c>
      <c r="E18" s="8">
        <v>1</v>
      </c>
      <c r="F18" s="8" t="str">
        <f t="shared" si="0"/>
        <v>Ctr</v>
      </c>
      <c r="G18" s="8" t="s">
        <v>68</v>
      </c>
      <c r="H18" s="8" t="s">
        <v>67</v>
      </c>
      <c r="I18" s="4">
        <v>14.4034</v>
      </c>
      <c r="J18" s="4">
        <v>15.398300000000001</v>
      </c>
      <c r="K18" s="4">
        <v>0.1764</v>
      </c>
    </row>
    <row r="19" spans="1:12" x14ac:dyDescent="0.25">
      <c r="A19" s="8">
        <v>18</v>
      </c>
      <c r="B19" s="8">
        <v>5</v>
      </c>
      <c r="C19" s="8">
        <v>2</v>
      </c>
      <c r="D19" s="8" t="s">
        <v>7</v>
      </c>
      <c r="E19" s="8">
        <v>2</v>
      </c>
      <c r="F19" s="8" t="str">
        <f t="shared" si="0"/>
        <v>Le</v>
      </c>
      <c r="G19" s="8" t="s">
        <v>68</v>
      </c>
      <c r="H19" s="8" t="s">
        <v>67</v>
      </c>
      <c r="I19" s="4">
        <v>14.550700000000001</v>
      </c>
      <c r="J19" s="4">
        <v>15.3255</v>
      </c>
      <c r="K19" s="4">
        <v>0.38890000000000002</v>
      </c>
    </row>
    <row r="20" spans="1:12" x14ac:dyDescent="0.25">
      <c r="A20" s="8">
        <v>19</v>
      </c>
      <c r="B20" s="8">
        <v>5</v>
      </c>
      <c r="C20" s="8">
        <v>2</v>
      </c>
      <c r="D20" s="8" t="s">
        <v>8</v>
      </c>
      <c r="E20" s="8">
        <v>3</v>
      </c>
      <c r="F20" s="8" t="str">
        <f t="shared" si="0"/>
        <v>Mp</v>
      </c>
      <c r="G20" s="8" t="s">
        <v>68</v>
      </c>
      <c r="H20" s="8" t="s">
        <v>67</v>
      </c>
      <c r="I20" s="4">
        <v>14.4956</v>
      </c>
      <c r="J20" s="4">
        <v>15.3589</v>
      </c>
      <c r="K20" s="4">
        <v>0.38469999999999999</v>
      </c>
    </row>
    <row r="21" spans="1:12" x14ac:dyDescent="0.25">
      <c r="A21" s="8">
        <v>20</v>
      </c>
      <c r="B21" s="8">
        <v>5</v>
      </c>
      <c r="C21" s="8">
        <v>2</v>
      </c>
      <c r="D21" s="8" t="s">
        <v>5</v>
      </c>
      <c r="E21" s="8">
        <v>4</v>
      </c>
      <c r="F21" s="8" t="str">
        <f t="shared" si="0"/>
        <v>Bb</v>
      </c>
      <c r="G21" s="8" t="s">
        <v>68</v>
      </c>
      <c r="H21" s="8" t="s">
        <v>67</v>
      </c>
      <c r="I21" s="4">
        <v>14.4443</v>
      </c>
      <c r="J21" s="4">
        <v>15.424799999999999</v>
      </c>
      <c r="K21" s="4">
        <v>0.34420000000000001</v>
      </c>
    </row>
    <row r="22" spans="1:12" x14ac:dyDescent="0.25">
      <c r="A22" s="8">
        <v>21</v>
      </c>
      <c r="B22" s="8">
        <v>6</v>
      </c>
      <c r="C22" s="8">
        <v>2</v>
      </c>
      <c r="D22" s="8" t="s">
        <v>5</v>
      </c>
      <c r="E22" s="8">
        <v>1</v>
      </c>
      <c r="F22" s="8" t="str">
        <f t="shared" si="0"/>
        <v>Bb</v>
      </c>
      <c r="G22" s="8" t="s">
        <v>68</v>
      </c>
      <c r="H22" s="8" t="s">
        <v>67</v>
      </c>
      <c r="I22" s="4">
        <v>14.577</v>
      </c>
      <c r="J22" s="4">
        <v>15.4795</v>
      </c>
      <c r="K22" s="4">
        <v>0.38140000000000002</v>
      </c>
    </row>
    <row r="23" spans="1:12" x14ac:dyDescent="0.25">
      <c r="A23" s="8">
        <v>22</v>
      </c>
      <c r="B23" s="8">
        <v>6</v>
      </c>
      <c r="C23" s="8">
        <v>2</v>
      </c>
      <c r="D23" s="8" t="s">
        <v>7</v>
      </c>
      <c r="E23" s="8">
        <v>2</v>
      </c>
      <c r="F23" s="8" t="str">
        <f t="shared" si="0"/>
        <v>Le</v>
      </c>
      <c r="G23" s="8" t="s">
        <v>68</v>
      </c>
      <c r="H23" s="8" t="s">
        <v>67</v>
      </c>
      <c r="I23" s="4">
        <v>14.574299999999999</v>
      </c>
      <c r="J23" s="4">
        <v>15.395099999999999</v>
      </c>
      <c r="K23" s="4">
        <v>0.36809999999999998</v>
      </c>
    </row>
    <row r="24" spans="1:12" x14ac:dyDescent="0.25">
      <c r="A24" s="8">
        <v>23</v>
      </c>
      <c r="B24" s="8">
        <v>6</v>
      </c>
      <c r="C24" s="8">
        <v>2</v>
      </c>
      <c r="D24" s="8" t="s">
        <v>8</v>
      </c>
      <c r="E24" s="8">
        <v>3</v>
      </c>
      <c r="F24" s="8" t="str">
        <f t="shared" si="0"/>
        <v>Mp</v>
      </c>
      <c r="G24" s="8" t="s">
        <v>68</v>
      </c>
      <c r="H24" s="8" t="s">
        <v>67</v>
      </c>
      <c r="I24" s="4">
        <v>14.489000000000001</v>
      </c>
      <c r="J24" s="4">
        <v>15.257300000000001</v>
      </c>
      <c r="K24" s="4">
        <v>0.28000000000000003</v>
      </c>
    </row>
    <row r="25" spans="1:12" x14ac:dyDescent="0.25">
      <c r="A25" s="8">
        <v>24</v>
      </c>
      <c r="B25" s="8">
        <v>6</v>
      </c>
      <c r="C25" s="8">
        <v>2</v>
      </c>
      <c r="D25" s="8" t="s">
        <v>6</v>
      </c>
      <c r="E25" s="8">
        <v>4</v>
      </c>
      <c r="F25" s="8" t="str">
        <f t="shared" si="0"/>
        <v>Ctr</v>
      </c>
      <c r="G25" s="8" t="s">
        <v>68</v>
      </c>
      <c r="H25" s="8" t="s">
        <v>67</v>
      </c>
      <c r="I25" s="4">
        <v>14.517300000000001</v>
      </c>
      <c r="J25" s="4">
        <v>15.3185</v>
      </c>
      <c r="K25" s="4">
        <v>0.34350000000000003</v>
      </c>
    </row>
    <row r="26" spans="1:12" x14ac:dyDescent="0.25">
      <c r="A26" s="8">
        <v>25</v>
      </c>
      <c r="B26" s="8">
        <v>7</v>
      </c>
      <c r="C26" s="8">
        <v>3</v>
      </c>
      <c r="D26" s="8" t="s">
        <v>7</v>
      </c>
      <c r="E26" s="8">
        <v>1</v>
      </c>
      <c r="F26" s="8" t="str">
        <f t="shared" si="0"/>
        <v>Le</v>
      </c>
      <c r="G26" s="8" t="s">
        <v>68</v>
      </c>
      <c r="H26" s="8" t="s">
        <v>67</v>
      </c>
      <c r="I26" s="4">
        <v>14.427300000000001</v>
      </c>
      <c r="J26" s="4">
        <v>15.326499999999999</v>
      </c>
      <c r="K26" s="4">
        <v>0.39360000000000001</v>
      </c>
    </row>
    <row r="27" spans="1:12" x14ac:dyDescent="0.25">
      <c r="A27" s="8">
        <v>26</v>
      </c>
      <c r="B27" s="8">
        <v>7</v>
      </c>
      <c r="C27" s="8">
        <v>3</v>
      </c>
      <c r="D27" s="8" t="s">
        <v>6</v>
      </c>
      <c r="E27" s="8">
        <v>2</v>
      </c>
      <c r="F27" s="8" t="str">
        <f t="shared" si="0"/>
        <v>Ctr</v>
      </c>
      <c r="G27" s="8" t="s">
        <v>68</v>
      </c>
      <c r="H27" s="8" t="s">
        <v>67</v>
      </c>
      <c r="I27" s="4">
        <v>14.5663</v>
      </c>
      <c r="J27" s="4">
        <v>15.4794</v>
      </c>
      <c r="K27" s="4">
        <v>0.39</v>
      </c>
    </row>
    <row r="28" spans="1:12" x14ac:dyDescent="0.25">
      <c r="A28" s="8">
        <v>27</v>
      </c>
      <c r="B28" s="8">
        <v>7</v>
      </c>
      <c r="C28" s="8">
        <v>3</v>
      </c>
      <c r="D28" s="8" t="s">
        <v>8</v>
      </c>
      <c r="E28" s="8">
        <v>3</v>
      </c>
      <c r="F28" s="8" t="str">
        <f t="shared" si="0"/>
        <v>Mp</v>
      </c>
      <c r="G28" s="8" t="s">
        <v>68</v>
      </c>
      <c r="H28" s="8" t="s">
        <v>67</v>
      </c>
      <c r="I28" s="4">
        <v>14.548999999999999</v>
      </c>
      <c r="J28" s="4">
        <v>15.6044</v>
      </c>
      <c r="K28" s="4">
        <v>0.40860000000000002</v>
      </c>
    </row>
    <row r="29" spans="1:12" x14ac:dyDescent="0.25">
      <c r="A29" s="8">
        <v>28</v>
      </c>
      <c r="B29" s="8">
        <v>7</v>
      </c>
      <c r="C29" s="8">
        <v>3</v>
      </c>
      <c r="D29" s="8" t="s">
        <v>5</v>
      </c>
      <c r="E29" s="8">
        <v>4</v>
      </c>
      <c r="F29" s="8" t="str">
        <f t="shared" si="0"/>
        <v>Bb</v>
      </c>
      <c r="G29" s="8" t="s">
        <v>68</v>
      </c>
      <c r="H29" s="8" t="s">
        <v>67</v>
      </c>
      <c r="I29" s="4">
        <v>14.5703</v>
      </c>
      <c r="J29" s="4">
        <v>15.264699999999999</v>
      </c>
      <c r="K29" s="4">
        <v>0.3821</v>
      </c>
    </row>
    <row r="30" spans="1:12" x14ac:dyDescent="0.25">
      <c r="A30" s="8">
        <v>29</v>
      </c>
      <c r="B30" s="8">
        <v>8</v>
      </c>
      <c r="C30" s="8">
        <v>3</v>
      </c>
      <c r="D30" s="8" t="s">
        <v>5</v>
      </c>
      <c r="E30" s="8">
        <v>1</v>
      </c>
      <c r="F30" s="8" t="str">
        <f t="shared" si="0"/>
        <v>Bb</v>
      </c>
      <c r="G30" s="8" t="s">
        <v>68</v>
      </c>
      <c r="H30" s="8" t="s">
        <v>67</v>
      </c>
      <c r="I30" s="4">
        <v>14.4702</v>
      </c>
      <c r="J30" s="4">
        <v>15.2819</v>
      </c>
      <c r="K30" s="4">
        <v>0.40129999999999999</v>
      </c>
    </row>
    <row r="31" spans="1:12" x14ac:dyDescent="0.25">
      <c r="A31" s="8">
        <v>30</v>
      </c>
      <c r="B31" s="8">
        <v>8</v>
      </c>
      <c r="C31" s="8">
        <v>3</v>
      </c>
      <c r="D31" s="8" t="s">
        <v>8</v>
      </c>
      <c r="E31" s="8">
        <v>2</v>
      </c>
      <c r="F31" s="8" t="str">
        <f t="shared" si="0"/>
        <v>Mp</v>
      </c>
      <c r="G31" s="8" t="s">
        <v>68</v>
      </c>
      <c r="H31" s="8" t="s">
        <v>67</v>
      </c>
      <c r="I31" s="4">
        <v>14.391999999999999</v>
      </c>
      <c r="J31" s="4">
        <v>15.186999999999999</v>
      </c>
      <c r="K31" s="4">
        <v>0.33360000000000001</v>
      </c>
      <c r="L31" s="4">
        <v>0.375</v>
      </c>
    </row>
    <row r="32" spans="1:12" x14ac:dyDescent="0.25">
      <c r="A32" s="8">
        <v>31</v>
      </c>
      <c r="B32" s="8">
        <v>8</v>
      </c>
      <c r="C32" s="8">
        <v>3</v>
      </c>
      <c r="D32" s="8" t="s">
        <v>6</v>
      </c>
      <c r="E32" s="8">
        <v>3</v>
      </c>
      <c r="F32" s="8" t="str">
        <f t="shared" si="0"/>
        <v>Ctr</v>
      </c>
      <c r="G32" s="8" t="s">
        <v>68</v>
      </c>
      <c r="H32" s="8" t="s">
        <v>67</v>
      </c>
      <c r="I32" s="4">
        <v>14.5261</v>
      </c>
      <c r="J32" s="4">
        <v>15.419700000000001</v>
      </c>
      <c r="K32" s="4">
        <v>0.39279999999999998</v>
      </c>
    </row>
    <row r="33" spans="1:11" x14ac:dyDescent="0.25">
      <c r="A33" s="8">
        <v>32</v>
      </c>
      <c r="B33" s="8">
        <v>8</v>
      </c>
      <c r="C33" s="8">
        <v>3</v>
      </c>
      <c r="D33" s="8" t="s">
        <v>7</v>
      </c>
      <c r="E33" s="8">
        <v>4</v>
      </c>
      <c r="F33" s="8" t="str">
        <f t="shared" si="0"/>
        <v>Le</v>
      </c>
      <c r="G33" s="8" t="s">
        <v>68</v>
      </c>
      <c r="H33" s="8" t="s">
        <v>67</v>
      </c>
      <c r="I33" s="4">
        <v>14.5382</v>
      </c>
      <c r="J33" s="4">
        <v>15.211499999999999</v>
      </c>
      <c r="K33" s="4">
        <v>0.39950000000000002</v>
      </c>
    </row>
    <row r="34" spans="1:11" x14ac:dyDescent="0.25">
      <c r="A34" s="8">
        <v>33</v>
      </c>
      <c r="B34" s="8">
        <v>9</v>
      </c>
      <c r="C34" s="8">
        <v>3</v>
      </c>
      <c r="D34" s="8" t="s">
        <v>8</v>
      </c>
      <c r="E34" s="8">
        <v>1</v>
      </c>
      <c r="F34" s="8" t="str">
        <f t="shared" si="0"/>
        <v>Mp</v>
      </c>
      <c r="G34" s="8" t="s">
        <v>68</v>
      </c>
      <c r="H34" s="8" t="s">
        <v>67</v>
      </c>
      <c r="I34" s="4">
        <v>14.446899999999999</v>
      </c>
      <c r="J34" s="4">
        <v>15.3208</v>
      </c>
      <c r="K34" s="4">
        <v>0.40439999999999998</v>
      </c>
    </row>
    <row r="35" spans="1:11" x14ac:dyDescent="0.25">
      <c r="A35" s="8">
        <v>34</v>
      </c>
      <c r="B35" s="8">
        <v>9</v>
      </c>
      <c r="C35" s="8">
        <v>3</v>
      </c>
      <c r="D35" s="8" t="s">
        <v>6</v>
      </c>
      <c r="E35" s="8">
        <v>2</v>
      </c>
      <c r="F35" s="8" t="str">
        <f t="shared" si="0"/>
        <v>Ctr</v>
      </c>
      <c r="G35" s="8" t="s">
        <v>68</v>
      </c>
      <c r="H35" s="8" t="s">
        <v>67</v>
      </c>
      <c r="I35" s="4">
        <v>14.486000000000001</v>
      </c>
      <c r="J35" s="4">
        <v>15.544</v>
      </c>
      <c r="K35" s="4">
        <v>0.40239999999999998</v>
      </c>
    </row>
    <row r="36" spans="1:11" x14ac:dyDescent="0.25">
      <c r="A36" s="8">
        <v>35</v>
      </c>
      <c r="B36" s="8">
        <v>9</v>
      </c>
      <c r="C36" s="8">
        <v>3</v>
      </c>
      <c r="D36" s="8" t="s">
        <v>7</v>
      </c>
      <c r="E36" s="8">
        <v>3</v>
      </c>
      <c r="F36" s="8" t="str">
        <f t="shared" si="0"/>
        <v>Le</v>
      </c>
      <c r="G36" s="8" t="s">
        <v>68</v>
      </c>
      <c r="H36" s="8" t="s">
        <v>67</v>
      </c>
      <c r="I36" s="4">
        <v>14.590999999999999</v>
      </c>
      <c r="J36" s="4">
        <v>15.348000000000001</v>
      </c>
      <c r="K36" s="4">
        <v>0.38779999999999998</v>
      </c>
    </row>
    <row r="37" spans="1:11" x14ac:dyDescent="0.25">
      <c r="A37" s="8">
        <v>36</v>
      </c>
      <c r="B37" s="8">
        <v>9</v>
      </c>
      <c r="C37" s="8">
        <v>3</v>
      </c>
      <c r="D37" s="8" t="s">
        <v>5</v>
      </c>
      <c r="E37" s="8">
        <v>4</v>
      </c>
      <c r="F37" s="8" t="str">
        <f t="shared" si="0"/>
        <v>Bb</v>
      </c>
      <c r="G37" s="8" t="s">
        <v>68</v>
      </c>
      <c r="H37" s="8" t="s">
        <v>67</v>
      </c>
      <c r="I37" s="4">
        <v>14.4956</v>
      </c>
      <c r="J37" s="4">
        <v>15.5631</v>
      </c>
      <c r="K37" s="4">
        <v>0.38850000000000001</v>
      </c>
    </row>
    <row r="38" spans="1:11" x14ac:dyDescent="0.25">
      <c r="A38" s="8">
        <v>37</v>
      </c>
      <c r="B38" s="8">
        <v>10</v>
      </c>
      <c r="C38" s="8">
        <v>4</v>
      </c>
      <c r="D38" s="8" t="s">
        <v>7</v>
      </c>
      <c r="E38" s="8">
        <v>1</v>
      </c>
      <c r="F38" s="8" t="str">
        <f t="shared" si="0"/>
        <v>Le</v>
      </c>
      <c r="G38" s="8" t="s">
        <v>68</v>
      </c>
      <c r="H38" s="8" t="s">
        <v>67</v>
      </c>
      <c r="I38" s="4">
        <v>14.4392</v>
      </c>
      <c r="J38" s="4">
        <v>15.143700000000001</v>
      </c>
      <c r="K38" s="4">
        <v>0.26919999999999999</v>
      </c>
    </row>
    <row r="39" spans="1:11" x14ac:dyDescent="0.25">
      <c r="A39" s="8">
        <v>38</v>
      </c>
      <c r="B39" s="8">
        <v>10</v>
      </c>
      <c r="C39" s="8">
        <v>4</v>
      </c>
      <c r="D39" s="8" t="s">
        <v>6</v>
      </c>
      <c r="E39" s="8">
        <v>2</v>
      </c>
      <c r="F39" s="8" t="str">
        <f t="shared" si="0"/>
        <v>Ctr</v>
      </c>
      <c r="G39" s="8" t="s">
        <v>68</v>
      </c>
      <c r="H39" s="8" t="s">
        <v>67</v>
      </c>
      <c r="I39" s="4">
        <v>14.5953</v>
      </c>
      <c r="J39" s="4">
        <v>15.200100000000001</v>
      </c>
      <c r="K39" s="4">
        <v>0.34089999999999998</v>
      </c>
    </row>
    <row r="40" spans="1:11" x14ac:dyDescent="0.25">
      <c r="A40" s="8">
        <v>39</v>
      </c>
      <c r="B40" s="8">
        <v>10</v>
      </c>
      <c r="C40" s="8">
        <v>4</v>
      </c>
      <c r="D40" s="8" t="s">
        <v>8</v>
      </c>
      <c r="E40" s="8">
        <v>3</v>
      </c>
      <c r="F40" s="8" t="str">
        <f t="shared" si="0"/>
        <v>Mp</v>
      </c>
      <c r="G40" s="8" t="s">
        <v>68</v>
      </c>
      <c r="H40" s="8" t="s">
        <v>67</v>
      </c>
      <c r="I40" s="4">
        <v>14.442500000000001</v>
      </c>
      <c r="J40" s="4">
        <v>15.132400000000001</v>
      </c>
      <c r="K40" s="4">
        <v>0.32700000000000001</v>
      </c>
    </row>
    <row r="41" spans="1:11" x14ac:dyDescent="0.25">
      <c r="A41" s="8">
        <v>40</v>
      </c>
      <c r="B41" s="8">
        <v>10</v>
      </c>
      <c r="C41" s="8">
        <v>4</v>
      </c>
      <c r="D41" s="8" t="s">
        <v>5</v>
      </c>
      <c r="E41" s="8">
        <v>4</v>
      </c>
      <c r="F41" s="8" t="str">
        <f t="shared" si="0"/>
        <v>Bb</v>
      </c>
      <c r="G41" s="8" t="s">
        <v>68</v>
      </c>
      <c r="H41" s="8" t="s">
        <v>67</v>
      </c>
      <c r="I41" s="4">
        <v>14.584099999999999</v>
      </c>
      <c r="J41" s="4">
        <v>15.478999999999999</v>
      </c>
      <c r="K41" s="4">
        <v>0.3387</v>
      </c>
    </row>
    <row r="42" spans="1:11" x14ac:dyDescent="0.25">
      <c r="A42" s="8">
        <v>41</v>
      </c>
      <c r="B42" s="8">
        <v>11</v>
      </c>
      <c r="C42" s="8">
        <v>4</v>
      </c>
      <c r="D42" s="8" t="s">
        <v>6</v>
      </c>
      <c r="E42" s="8">
        <v>1</v>
      </c>
      <c r="F42" s="8" t="str">
        <f t="shared" si="0"/>
        <v>Ctr</v>
      </c>
      <c r="G42" s="8" t="s">
        <v>68</v>
      </c>
      <c r="H42" s="8" t="s">
        <v>67</v>
      </c>
      <c r="I42" s="4">
        <v>14.574999999999999</v>
      </c>
      <c r="J42" s="4">
        <v>15.6022</v>
      </c>
      <c r="K42" s="4">
        <v>0.34760000000000002</v>
      </c>
    </row>
    <row r="43" spans="1:11" x14ac:dyDescent="0.25">
      <c r="A43" s="8">
        <v>42</v>
      </c>
      <c r="B43" s="8">
        <v>11</v>
      </c>
      <c r="C43" s="8">
        <v>4</v>
      </c>
      <c r="D43" s="8" t="s">
        <v>7</v>
      </c>
      <c r="E43" s="8">
        <v>2</v>
      </c>
      <c r="F43" s="8" t="str">
        <f t="shared" si="0"/>
        <v>Le</v>
      </c>
      <c r="G43" s="8" t="s">
        <v>68</v>
      </c>
      <c r="H43" s="8" t="s">
        <v>67</v>
      </c>
      <c r="I43" s="4">
        <v>14.519500000000001</v>
      </c>
      <c r="J43" s="4">
        <v>15.2653</v>
      </c>
      <c r="K43" s="4">
        <v>0.35010000000000002</v>
      </c>
    </row>
    <row r="44" spans="1:11" x14ac:dyDescent="0.25">
      <c r="A44" s="8">
        <v>43</v>
      </c>
      <c r="B44" s="8">
        <v>11</v>
      </c>
      <c r="C44" s="8">
        <v>4</v>
      </c>
      <c r="D44" s="8" t="s">
        <v>5</v>
      </c>
      <c r="E44" s="8">
        <v>3</v>
      </c>
      <c r="F44" s="8" t="str">
        <f t="shared" si="0"/>
        <v>Bb</v>
      </c>
      <c r="G44" s="8" t="s">
        <v>68</v>
      </c>
      <c r="H44" s="8" t="s">
        <v>67</v>
      </c>
      <c r="I44" s="4">
        <v>14.517799999999999</v>
      </c>
      <c r="J44" s="4">
        <v>15.0861</v>
      </c>
      <c r="K44" s="4">
        <v>0.34520000000000001</v>
      </c>
    </row>
    <row r="45" spans="1:11" x14ac:dyDescent="0.25">
      <c r="A45" s="8">
        <v>44</v>
      </c>
      <c r="B45" s="8">
        <v>11</v>
      </c>
      <c r="C45" s="8">
        <v>4</v>
      </c>
      <c r="D45" s="8" t="s">
        <v>8</v>
      </c>
      <c r="E45" s="8">
        <v>4</v>
      </c>
      <c r="F45" s="8" t="str">
        <f t="shared" si="0"/>
        <v>Mp</v>
      </c>
      <c r="G45" s="8" t="s">
        <v>68</v>
      </c>
      <c r="H45" s="8" t="s">
        <v>67</v>
      </c>
      <c r="I45" s="4">
        <v>14.527699999999999</v>
      </c>
      <c r="J45" s="4">
        <v>15.481</v>
      </c>
      <c r="K45" s="4">
        <v>0.34510000000000002</v>
      </c>
    </row>
    <row r="46" spans="1:11" x14ac:dyDescent="0.25">
      <c r="A46" s="8">
        <v>45</v>
      </c>
      <c r="B46" s="8">
        <v>12</v>
      </c>
      <c r="C46" s="8">
        <v>4</v>
      </c>
      <c r="D46" s="8" t="s">
        <v>7</v>
      </c>
      <c r="E46" s="8">
        <v>1</v>
      </c>
      <c r="F46" s="8" t="str">
        <f t="shared" si="0"/>
        <v>Le</v>
      </c>
      <c r="G46" s="8" t="s">
        <v>68</v>
      </c>
      <c r="H46" s="8" t="s">
        <v>67</v>
      </c>
      <c r="I46" s="4">
        <v>14.513</v>
      </c>
      <c r="J46" s="4">
        <v>15.1006</v>
      </c>
      <c r="K46" s="4">
        <v>0.33090000000000003</v>
      </c>
    </row>
    <row r="47" spans="1:11" x14ac:dyDescent="0.25">
      <c r="A47" s="8">
        <v>46</v>
      </c>
      <c r="B47" s="8">
        <v>12</v>
      </c>
      <c r="C47" s="8">
        <v>4</v>
      </c>
      <c r="D47" s="8" t="s">
        <v>6</v>
      </c>
      <c r="E47" s="8">
        <v>2</v>
      </c>
      <c r="F47" s="8" t="str">
        <f t="shared" si="0"/>
        <v>Ctr</v>
      </c>
      <c r="G47" s="8" t="s">
        <v>68</v>
      </c>
      <c r="H47" s="8" t="s">
        <v>67</v>
      </c>
      <c r="I47" s="4">
        <v>14.478899999999999</v>
      </c>
      <c r="J47" s="4">
        <v>15.2994</v>
      </c>
      <c r="K47" s="4">
        <v>0.35349999999999998</v>
      </c>
    </row>
    <row r="48" spans="1:11" x14ac:dyDescent="0.25">
      <c r="A48" s="8">
        <v>47</v>
      </c>
      <c r="B48" s="8">
        <v>12</v>
      </c>
      <c r="C48" s="8">
        <v>4</v>
      </c>
      <c r="D48" s="8" t="s">
        <v>5</v>
      </c>
      <c r="E48" s="8">
        <v>3</v>
      </c>
      <c r="F48" s="8" t="str">
        <f t="shared" si="0"/>
        <v>Bb</v>
      </c>
      <c r="G48" s="8" t="s">
        <v>68</v>
      </c>
      <c r="H48" s="8" t="s">
        <v>67</v>
      </c>
      <c r="I48" s="4">
        <v>14.4712</v>
      </c>
      <c r="J48" s="4">
        <v>15.224299999999999</v>
      </c>
    </row>
    <row r="49" spans="1:11" x14ac:dyDescent="0.25">
      <c r="A49" s="8">
        <v>48</v>
      </c>
      <c r="B49" s="8">
        <v>12</v>
      </c>
      <c r="C49" s="8">
        <v>4</v>
      </c>
      <c r="D49" s="8" t="s">
        <v>8</v>
      </c>
      <c r="E49" s="8">
        <v>4</v>
      </c>
      <c r="F49" s="8" t="str">
        <f t="shared" si="0"/>
        <v>Mp</v>
      </c>
      <c r="G49" s="8" t="s">
        <v>68</v>
      </c>
      <c r="H49" s="8" t="s">
        <v>67</v>
      </c>
      <c r="I49" s="4">
        <v>14.4968</v>
      </c>
      <c r="J49" s="4">
        <v>15.249700000000001</v>
      </c>
      <c r="K49" s="4">
        <v>0.35389999999999999</v>
      </c>
    </row>
    <row r="50" spans="1:11" x14ac:dyDescent="0.25">
      <c r="A50" s="8">
        <v>49</v>
      </c>
      <c r="B50" s="8">
        <v>13</v>
      </c>
      <c r="C50" s="8">
        <v>5</v>
      </c>
      <c r="D50" s="8" t="s">
        <v>6</v>
      </c>
      <c r="E50" s="8">
        <v>1</v>
      </c>
      <c r="F50" s="8" t="str">
        <f t="shared" si="0"/>
        <v>Ctr</v>
      </c>
      <c r="G50" s="8" t="s">
        <v>68</v>
      </c>
      <c r="H50" s="8" t="s">
        <v>67</v>
      </c>
      <c r="I50" s="4">
        <v>14.449400000000001</v>
      </c>
      <c r="J50" s="4">
        <v>15.3338</v>
      </c>
      <c r="K50" s="4">
        <v>0.35420000000000001</v>
      </c>
    </row>
    <row r="51" spans="1:11" x14ac:dyDescent="0.25">
      <c r="A51" s="8">
        <v>50</v>
      </c>
      <c r="B51" s="8">
        <v>13</v>
      </c>
      <c r="C51" s="8">
        <v>5</v>
      </c>
      <c r="D51" s="8" t="s">
        <v>8</v>
      </c>
      <c r="E51" s="8">
        <v>2</v>
      </c>
      <c r="F51" s="8" t="str">
        <f t="shared" si="0"/>
        <v>Mp</v>
      </c>
      <c r="G51" s="8" t="s">
        <v>68</v>
      </c>
      <c r="H51" s="8" t="s">
        <v>67</v>
      </c>
      <c r="I51" s="4">
        <v>14.4964</v>
      </c>
      <c r="J51" s="4">
        <v>15.253399999999999</v>
      </c>
    </row>
    <row r="52" spans="1:11" x14ac:dyDescent="0.25">
      <c r="A52" s="8">
        <v>51</v>
      </c>
      <c r="B52" s="8">
        <v>13</v>
      </c>
      <c r="C52" s="8">
        <v>5</v>
      </c>
      <c r="D52" s="8" t="s">
        <v>7</v>
      </c>
      <c r="E52" s="8">
        <v>3</v>
      </c>
      <c r="F52" s="8" t="str">
        <f t="shared" si="0"/>
        <v>Le</v>
      </c>
      <c r="G52" s="8" t="s">
        <v>68</v>
      </c>
      <c r="H52" s="8" t="s">
        <v>67</v>
      </c>
      <c r="I52" s="4">
        <v>14.5647</v>
      </c>
      <c r="J52" s="4">
        <v>15.3429</v>
      </c>
    </row>
    <row r="53" spans="1:11" x14ac:dyDescent="0.25">
      <c r="A53" s="8">
        <v>52</v>
      </c>
      <c r="B53" s="8">
        <v>13</v>
      </c>
      <c r="C53" s="8">
        <v>5</v>
      </c>
      <c r="D53" s="8" t="s">
        <v>5</v>
      </c>
      <c r="E53" s="8">
        <v>4</v>
      </c>
      <c r="F53" s="8" t="str">
        <f t="shared" si="0"/>
        <v>Bb</v>
      </c>
      <c r="G53" s="8" t="s">
        <v>68</v>
      </c>
      <c r="H53" s="8" t="s">
        <v>67</v>
      </c>
      <c r="I53" s="4">
        <v>14.495100000000001</v>
      </c>
      <c r="J53" s="4">
        <v>15.5473</v>
      </c>
      <c r="K53" s="4">
        <v>0.35220000000000001</v>
      </c>
    </row>
    <row r="54" spans="1:11" x14ac:dyDescent="0.25">
      <c r="A54" s="8">
        <v>53</v>
      </c>
      <c r="B54" s="8">
        <v>14</v>
      </c>
      <c r="C54" s="8">
        <v>5</v>
      </c>
      <c r="D54" s="8" t="s">
        <v>6</v>
      </c>
      <c r="E54" s="8">
        <v>1</v>
      </c>
      <c r="F54" s="8" t="str">
        <f t="shared" si="0"/>
        <v>Ctr</v>
      </c>
      <c r="G54" s="8" t="s">
        <v>68</v>
      </c>
      <c r="H54" s="8" t="s">
        <v>67</v>
      </c>
      <c r="I54" s="4">
        <v>14.5838</v>
      </c>
      <c r="J54" s="4">
        <v>15.584300000000001</v>
      </c>
    </row>
    <row r="55" spans="1:11" x14ac:dyDescent="0.25">
      <c r="A55" s="8">
        <v>54</v>
      </c>
      <c r="B55" s="8">
        <v>14</v>
      </c>
      <c r="C55" s="8">
        <v>5</v>
      </c>
      <c r="D55" s="8" t="s">
        <v>5</v>
      </c>
      <c r="E55" s="8">
        <v>2</v>
      </c>
      <c r="F55" s="8" t="str">
        <f t="shared" si="0"/>
        <v>Bb</v>
      </c>
      <c r="G55" s="8" t="s">
        <v>68</v>
      </c>
      <c r="H55" s="8" t="s">
        <v>67</v>
      </c>
      <c r="I55" s="4">
        <v>14.5633</v>
      </c>
      <c r="J55" s="4">
        <v>15.3475</v>
      </c>
    </row>
    <row r="56" spans="1:11" x14ac:dyDescent="0.25">
      <c r="A56" s="8">
        <v>55</v>
      </c>
      <c r="B56" s="8">
        <v>14</v>
      </c>
      <c r="C56" s="8">
        <v>5</v>
      </c>
      <c r="D56" s="8" t="s">
        <v>8</v>
      </c>
      <c r="E56" s="8">
        <v>3</v>
      </c>
      <c r="F56" s="8" t="str">
        <f t="shared" si="0"/>
        <v>Mp</v>
      </c>
      <c r="G56" s="8" t="s">
        <v>68</v>
      </c>
      <c r="H56" s="8" t="s">
        <v>67</v>
      </c>
      <c r="I56" s="4">
        <v>14.504799999999999</v>
      </c>
      <c r="J56" s="4">
        <v>15.6401</v>
      </c>
    </row>
    <row r="57" spans="1:11" x14ac:dyDescent="0.25">
      <c r="A57" s="8">
        <v>56</v>
      </c>
      <c r="B57" s="8">
        <v>14</v>
      </c>
      <c r="C57" s="8">
        <v>5</v>
      </c>
      <c r="D57" s="8" t="s">
        <v>7</v>
      </c>
      <c r="E57" s="8">
        <v>4</v>
      </c>
      <c r="F57" s="8" t="str">
        <f t="shared" si="0"/>
        <v>Le</v>
      </c>
      <c r="G57" s="8" t="s">
        <v>68</v>
      </c>
      <c r="H57" s="8" t="s">
        <v>67</v>
      </c>
      <c r="I57" s="4">
        <v>14.5761</v>
      </c>
      <c r="J57" s="4">
        <v>15.5177</v>
      </c>
      <c r="K57" s="4">
        <v>0.3503</v>
      </c>
    </row>
    <row r="58" spans="1:11" x14ac:dyDescent="0.25">
      <c r="A58" s="8">
        <v>57</v>
      </c>
      <c r="B58" s="8" t="s">
        <v>70</v>
      </c>
      <c r="C58" s="8">
        <v>5</v>
      </c>
      <c r="D58" s="8" t="s">
        <v>69</v>
      </c>
      <c r="E58" s="8" t="s">
        <v>70</v>
      </c>
      <c r="F58" s="8" t="s">
        <v>69</v>
      </c>
      <c r="G58" s="8" t="s">
        <v>68</v>
      </c>
      <c r="H58" s="8" t="s">
        <v>67</v>
      </c>
      <c r="I58" s="4">
        <v>14.518800000000001</v>
      </c>
      <c r="J58" s="4">
        <v>14.518800000000001</v>
      </c>
      <c r="K58" s="4" t="s">
        <v>467</v>
      </c>
    </row>
    <row r="59" spans="1:11" x14ac:dyDescent="0.25">
      <c r="A59" s="8">
        <v>58</v>
      </c>
      <c r="B59" s="8" t="s">
        <v>70</v>
      </c>
      <c r="C59" s="8">
        <v>5</v>
      </c>
      <c r="D59" s="8" t="s">
        <v>69</v>
      </c>
      <c r="E59" s="8" t="s">
        <v>70</v>
      </c>
      <c r="F59" s="8" t="s">
        <v>69</v>
      </c>
      <c r="G59" s="8" t="s">
        <v>68</v>
      </c>
      <c r="H59" s="8" t="s">
        <v>67</v>
      </c>
      <c r="I59" s="4">
        <v>14.5335</v>
      </c>
      <c r="J59" s="4">
        <v>14.5335</v>
      </c>
      <c r="K59" s="4" t="s">
        <v>467</v>
      </c>
    </row>
    <row r="60" spans="1:11" x14ac:dyDescent="0.25">
      <c r="A60" s="8">
        <v>59</v>
      </c>
      <c r="B60" s="8" t="s">
        <v>70</v>
      </c>
      <c r="C60" s="8">
        <v>5</v>
      </c>
      <c r="D60" s="8" t="s">
        <v>69</v>
      </c>
      <c r="E60" s="8" t="s">
        <v>70</v>
      </c>
      <c r="F60" s="8" t="s">
        <v>69</v>
      </c>
      <c r="G60" s="8" t="s">
        <v>68</v>
      </c>
      <c r="H60" s="8" t="s">
        <v>67</v>
      </c>
      <c r="I60" s="4">
        <v>14.4762</v>
      </c>
      <c r="J60" s="4">
        <v>14.4762</v>
      </c>
      <c r="K60" s="4" t="s">
        <v>467</v>
      </c>
    </row>
    <row r="61" spans="1:11" x14ac:dyDescent="0.25">
      <c r="A61" s="8">
        <v>60</v>
      </c>
      <c r="B61" s="8" t="s">
        <v>70</v>
      </c>
      <c r="C61" s="8">
        <v>5</v>
      </c>
      <c r="D61" s="8" t="s">
        <v>69</v>
      </c>
      <c r="E61" s="8" t="s">
        <v>70</v>
      </c>
      <c r="F61" s="8" t="s">
        <v>69</v>
      </c>
      <c r="G61" s="8" t="s">
        <v>68</v>
      </c>
      <c r="H61" s="8" t="s">
        <v>67</v>
      </c>
      <c r="I61" s="4">
        <v>14.456300000000001</v>
      </c>
      <c r="J61" s="4">
        <v>14.456300000000001</v>
      </c>
      <c r="K61" s="4" t="s">
        <v>467</v>
      </c>
    </row>
  </sheetData>
  <pageMargins left="0.7" right="0.7" top="0.75" bottom="0.75" header="0.3" footer="0.3"/>
  <pageSetup paperSize="9" scale="83" fitToWidth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58F8-62AB-4727-B2BC-2A6FB16F911C}">
  <sheetPr>
    <tabColor theme="5" tint="-0.249977111117893"/>
  </sheetPr>
  <dimension ref="A1:Q122"/>
  <sheetViews>
    <sheetView tabSelected="1" workbookViewId="0">
      <pane ySplit="2" topLeftCell="A99" activePane="bottomLeft" state="frozen"/>
      <selection pane="bottomLeft" activeCell="K117" sqref="K117"/>
    </sheetView>
  </sheetViews>
  <sheetFormatPr defaultRowHeight="15" x14ac:dyDescent="0.25"/>
  <cols>
    <col min="1" max="1" width="18.5703125" style="4" customWidth="1"/>
    <col min="2" max="2" width="6" style="4" customWidth="1"/>
    <col min="3" max="3" width="6.42578125" style="4" customWidth="1"/>
    <col min="4" max="4" width="14.28515625" style="4" customWidth="1"/>
    <col min="5" max="5" width="9" style="4" customWidth="1"/>
    <col min="6" max="7" width="13.5703125" style="4" customWidth="1"/>
    <col min="8" max="8" width="8.5703125" style="4" customWidth="1"/>
    <col min="9" max="9" width="12.85546875" style="4" customWidth="1"/>
    <col min="10" max="10" width="15.140625" style="4" customWidth="1"/>
    <col min="11" max="11" width="9.42578125" style="4" customWidth="1"/>
    <col min="16" max="16" width="34.140625" customWidth="1"/>
  </cols>
  <sheetData>
    <row r="1" spans="1:17" x14ac:dyDescent="0.25">
      <c r="K1" s="9" t="s">
        <v>298</v>
      </c>
      <c r="L1" s="33" t="s">
        <v>297</v>
      </c>
      <c r="M1" s="33"/>
      <c r="N1" s="33"/>
      <c r="O1" s="33"/>
      <c r="P1" s="1"/>
      <c r="Q1" s="1"/>
    </row>
    <row r="2" spans="1:17" s="9" customFormat="1" ht="40.15" customHeight="1" x14ac:dyDescent="0.25">
      <c r="A2" s="9" t="s">
        <v>458</v>
      </c>
      <c r="B2" s="28" t="s">
        <v>0</v>
      </c>
      <c r="C2" s="28" t="s">
        <v>1</v>
      </c>
      <c r="D2" s="28" t="s">
        <v>2</v>
      </c>
      <c r="E2" s="28" t="s">
        <v>4</v>
      </c>
      <c r="F2" s="28" t="s">
        <v>299</v>
      </c>
      <c r="G2" s="28" t="s">
        <v>300</v>
      </c>
      <c r="H2" s="28" t="s">
        <v>301</v>
      </c>
      <c r="I2" s="28" t="s">
        <v>302</v>
      </c>
      <c r="J2" s="28" t="s">
        <v>303</v>
      </c>
      <c r="K2" s="28" t="s">
        <v>469</v>
      </c>
      <c r="L2" s="28" t="s">
        <v>304</v>
      </c>
      <c r="M2" s="9" t="s">
        <v>305</v>
      </c>
      <c r="N2" s="9" t="s">
        <v>306</v>
      </c>
      <c r="O2" s="9" t="s">
        <v>307</v>
      </c>
      <c r="P2" s="9" t="s">
        <v>97</v>
      </c>
    </row>
    <row r="3" spans="1:17" x14ac:dyDescent="0.25">
      <c r="B3" s="4">
        <v>1</v>
      </c>
      <c r="C3" s="4">
        <v>1</v>
      </c>
      <c r="D3" s="4" t="s">
        <v>5</v>
      </c>
      <c r="E3" s="4">
        <v>1</v>
      </c>
      <c r="F3" s="4" t="s">
        <v>309</v>
      </c>
      <c r="G3" s="4" t="s">
        <v>310</v>
      </c>
      <c r="H3" s="4" t="s">
        <v>311</v>
      </c>
      <c r="I3" s="4">
        <v>1</v>
      </c>
      <c r="J3" s="4">
        <v>1</v>
      </c>
      <c r="K3" s="4">
        <v>1.9550000000000001</v>
      </c>
      <c r="L3" s="4">
        <v>9.0190000000000001</v>
      </c>
      <c r="M3" s="4">
        <v>0.1804</v>
      </c>
      <c r="N3" s="4">
        <v>1.56</v>
      </c>
      <c r="O3" s="4">
        <v>0.25</v>
      </c>
      <c r="P3" s="4"/>
      <c r="Q3" s="4"/>
    </row>
    <row r="4" spans="1:17" x14ac:dyDescent="0.25">
      <c r="B4" s="4">
        <v>2</v>
      </c>
      <c r="C4" s="4">
        <v>1</v>
      </c>
      <c r="D4" s="4" t="s">
        <v>6</v>
      </c>
      <c r="E4" s="4">
        <v>2</v>
      </c>
      <c r="F4" s="4" t="s">
        <v>309</v>
      </c>
      <c r="G4" s="4" t="s">
        <v>310</v>
      </c>
      <c r="H4" s="4" t="s">
        <v>312</v>
      </c>
      <c r="I4" s="4">
        <v>1</v>
      </c>
      <c r="J4" s="4">
        <v>1</v>
      </c>
      <c r="K4" s="4">
        <v>1.0500000000000001E-2</v>
      </c>
      <c r="L4" s="4">
        <v>9.0969999999999995</v>
      </c>
      <c r="M4" s="4">
        <v>0.18190000000000001</v>
      </c>
      <c r="N4" s="4">
        <v>1.53</v>
      </c>
      <c r="O4" s="4">
        <v>0.34</v>
      </c>
      <c r="P4" s="4"/>
      <c r="Q4" s="4"/>
    </row>
    <row r="5" spans="1:17" x14ac:dyDescent="0.25">
      <c r="B5" s="4">
        <v>3</v>
      </c>
      <c r="C5" s="4">
        <v>1</v>
      </c>
      <c r="D5" s="4" t="s">
        <v>7</v>
      </c>
      <c r="E5" s="4">
        <v>3</v>
      </c>
      <c r="F5" s="4" t="s">
        <v>309</v>
      </c>
      <c r="G5" s="4" t="s">
        <v>310</v>
      </c>
      <c r="H5" s="4" t="s">
        <v>313</v>
      </c>
      <c r="I5" s="4">
        <v>1</v>
      </c>
      <c r="J5" s="4">
        <v>1</v>
      </c>
      <c r="K5" s="4">
        <v>6.0000000000000001E-3</v>
      </c>
      <c r="L5" s="4">
        <v>4.9059999999999997</v>
      </c>
      <c r="M5" s="4">
        <v>9.8100000000000007E-2</v>
      </c>
      <c r="N5" s="4">
        <v>1.63</v>
      </c>
      <c r="O5" s="4">
        <v>0.16</v>
      </c>
      <c r="P5" s="4"/>
      <c r="Q5" s="4"/>
    </row>
    <row r="6" spans="1:17" x14ac:dyDescent="0.25">
      <c r="B6" s="4">
        <v>4</v>
      </c>
      <c r="C6" s="4">
        <v>1</v>
      </c>
      <c r="D6" s="4" t="s">
        <v>8</v>
      </c>
      <c r="E6" s="4">
        <v>4</v>
      </c>
      <c r="F6" s="4" t="s">
        <v>309</v>
      </c>
      <c r="G6" s="4" t="s">
        <v>310</v>
      </c>
      <c r="H6" s="4" t="s">
        <v>314</v>
      </c>
      <c r="I6" s="4">
        <v>1</v>
      </c>
      <c r="J6" s="4">
        <v>1</v>
      </c>
      <c r="K6" s="4">
        <v>2E-3</v>
      </c>
      <c r="L6" s="4">
        <v>6.3470000000000004</v>
      </c>
      <c r="M6" s="4">
        <v>0.12690000000000001</v>
      </c>
      <c r="N6" s="4">
        <v>1.28</v>
      </c>
      <c r="O6" s="4">
        <v>0.4</v>
      </c>
      <c r="P6" s="4"/>
      <c r="Q6" s="4"/>
    </row>
    <row r="7" spans="1:17" x14ac:dyDescent="0.25">
      <c r="B7" s="4">
        <v>5</v>
      </c>
      <c r="C7" s="4">
        <v>2</v>
      </c>
      <c r="D7" s="4" t="s">
        <v>6</v>
      </c>
      <c r="E7" s="4">
        <v>1</v>
      </c>
      <c r="F7" s="4" t="s">
        <v>309</v>
      </c>
      <c r="G7" s="4" t="s">
        <v>310</v>
      </c>
      <c r="H7" s="4" t="s">
        <v>315</v>
      </c>
      <c r="I7" s="4">
        <v>1</v>
      </c>
      <c r="J7" s="4">
        <v>1</v>
      </c>
      <c r="K7" s="4" t="s">
        <v>316</v>
      </c>
    </row>
    <row r="8" spans="1:17" x14ac:dyDescent="0.25">
      <c r="B8" s="4">
        <v>6</v>
      </c>
      <c r="C8" s="4">
        <v>2</v>
      </c>
      <c r="D8" s="4" t="s">
        <v>8</v>
      </c>
      <c r="E8" s="4">
        <v>2</v>
      </c>
      <c r="F8" s="4" t="s">
        <v>309</v>
      </c>
      <c r="G8" s="4" t="s">
        <v>310</v>
      </c>
      <c r="H8" s="4" t="s">
        <v>317</v>
      </c>
      <c r="I8" s="4">
        <v>1</v>
      </c>
      <c r="J8" s="4">
        <v>1</v>
      </c>
      <c r="K8" s="4" t="s">
        <v>316</v>
      </c>
    </row>
    <row r="9" spans="1:17" x14ac:dyDescent="0.25">
      <c r="A9" s="30" t="s">
        <v>460</v>
      </c>
      <c r="B9" s="30">
        <v>7</v>
      </c>
      <c r="C9" s="30">
        <v>2</v>
      </c>
      <c r="D9" s="30" t="s">
        <v>7</v>
      </c>
      <c r="E9" s="30">
        <v>3</v>
      </c>
      <c r="F9" s="30" t="s">
        <v>309</v>
      </c>
      <c r="G9" s="30" t="s">
        <v>310</v>
      </c>
      <c r="H9" s="30" t="s">
        <v>318</v>
      </c>
      <c r="I9" s="30">
        <v>1</v>
      </c>
      <c r="J9" s="30">
        <v>1</v>
      </c>
      <c r="K9" s="4" t="s">
        <v>316</v>
      </c>
      <c r="P9" s="31" t="s">
        <v>459</v>
      </c>
    </row>
    <row r="10" spans="1:17" x14ac:dyDescent="0.25">
      <c r="B10" s="4">
        <v>8</v>
      </c>
      <c r="C10" s="4">
        <v>2</v>
      </c>
      <c r="D10" s="4" t="s">
        <v>5</v>
      </c>
      <c r="E10" s="4">
        <v>4</v>
      </c>
      <c r="F10" s="4" t="s">
        <v>309</v>
      </c>
      <c r="G10" s="4" t="s">
        <v>310</v>
      </c>
      <c r="H10" s="4" t="s">
        <v>319</v>
      </c>
      <c r="I10" s="4">
        <v>1</v>
      </c>
      <c r="J10" s="4">
        <v>1</v>
      </c>
      <c r="K10" s="4">
        <v>5.5E-2</v>
      </c>
    </row>
    <row r="11" spans="1:17" x14ac:dyDescent="0.25">
      <c r="B11" s="4">
        <v>9</v>
      </c>
      <c r="C11" s="4">
        <v>3</v>
      </c>
      <c r="D11" s="4" t="s">
        <v>7</v>
      </c>
      <c r="E11" s="4">
        <v>1</v>
      </c>
      <c r="F11" s="4" t="s">
        <v>309</v>
      </c>
      <c r="G11" s="4" t="s">
        <v>310</v>
      </c>
      <c r="H11" s="4" t="s">
        <v>320</v>
      </c>
      <c r="I11" s="4">
        <v>1</v>
      </c>
      <c r="J11" s="4">
        <v>1</v>
      </c>
      <c r="K11" s="4">
        <v>0.02</v>
      </c>
    </row>
    <row r="12" spans="1:17" x14ac:dyDescent="0.25">
      <c r="B12" s="4">
        <v>10</v>
      </c>
      <c r="C12" s="4">
        <v>3</v>
      </c>
      <c r="D12" s="4" t="s">
        <v>8</v>
      </c>
      <c r="E12" s="4">
        <v>2</v>
      </c>
      <c r="F12" s="4" t="s">
        <v>309</v>
      </c>
      <c r="G12" s="4" t="s">
        <v>310</v>
      </c>
      <c r="H12" s="4" t="s">
        <v>321</v>
      </c>
      <c r="I12" s="4">
        <v>1</v>
      </c>
      <c r="J12" s="4">
        <v>1</v>
      </c>
      <c r="K12" s="4" t="s">
        <v>316</v>
      </c>
    </row>
    <row r="13" spans="1:17" x14ac:dyDescent="0.25">
      <c r="B13" s="4">
        <v>11</v>
      </c>
      <c r="C13" s="4">
        <v>3</v>
      </c>
      <c r="D13" s="4" t="s">
        <v>5</v>
      </c>
      <c r="E13" s="4">
        <v>3</v>
      </c>
      <c r="F13" s="4" t="s">
        <v>309</v>
      </c>
      <c r="G13" s="4" t="s">
        <v>310</v>
      </c>
      <c r="H13" s="4" t="s">
        <v>322</v>
      </c>
      <c r="I13" s="4">
        <v>1</v>
      </c>
      <c r="J13" s="4">
        <v>1</v>
      </c>
      <c r="K13" s="4">
        <v>2.7E-2</v>
      </c>
    </row>
    <row r="14" spans="1:17" x14ac:dyDescent="0.25">
      <c r="B14" s="4">
        <v>12</v>
      </c>
      <c r="C14" s="4">
        <v>3</v>
      </c>
      <c r="D14" s="4" t="s">
        <v>6</v>
      </c>
      <c r="E14" s="4">
        <v>4</v>
      </c>
      <c r="F14" s="4" t="s">
        <v>309</v>
      </c>
      <c r="G14" s="4" t="s">
        <v>310</v>
      </c>
      <c r="H14" s="4" t="s">
        <v>323</v>
      </c>
      <c r="I14" s="4">
        <v>1</v>
      </c>
      <c r="J14" s="4">
        <v>1</v>
      </c>
      <c r="K14" s="4">
        <v>8.2000000000000003E-2</v>
      </c>
    </row>
    <row r="15" spans="1:17" x14ac:dyDescent="0.25">
      <c r="B15" s="4">
        <v>13</v>
      </c>
      <c r="C15" s="4">
        <v>4</v>
      </c>
      <c r="D15" s="4" t="s">
        <v>8</v>
      </c>
      <c r="E15" s="4">
        <v>1</v>
      </c>
      <c r="F15" s="4" t="s">
        <v>309</v>
      </c>
      <c r="G15" s="4" t="s">
        <v>310</v>
      </c>
      <c r="H15" s="4" t="s">
        <v>324</v>
      </c>
      <c r="I15" s="4">
        <v>2</v>
      </c>
      <c r="J15" s="4">
        <v>2</v>
      </c>
      <c r="K15" s="4" t="s">
        <v>316</v>
      </c>
    </row>
    <row r="16" spans="1:17" x14ac:dyDescent="0.25">
      <c r="B16" s="4">
        <v>14</v>
      </c>
      <c r="C16" s="4">
        <v>4</v>
      </c>
      <c r="D16" s="4" t="s">
        <v>6</v>
      </c>
      <c r="E16" s="4">
        <v>2</v>
      </c>
      <c r="F16" s="4" t="s">
        <v>309</v>
      </c>
      <c r="G16" s="4" t="s">
        <v>310</v>
      </c>
      <c r="H16" s="4" t="s">
        <v>325</v>
      </c>
      <c r="I16" s="4">
        <v>2</v>
      </c>
      <c r="J16" s="4">
        <v>2</v>
      </c>
      <c r="K16" s="4" t="s">
        <v>316</v>
      </c>
    </row>
    <row r="17" spans="2:16" x14ac:dyDescent="0.25">
      <c r="B17" s="4">
        <v>15</v>
      </c>
      <c r="C17" s="4">
        <v>4</v>
      </c>
      <c r="D17" s="4" t="s">
        <v>7</v>
      </c>
      <c r="E17" s="4">
        <v>3</v>
      </c>
      <c r="F17" s="4" t="s">
        <v>309</v>
      </c>
      <c r="G17" s="4" t="s">
        <v>310</v>
      </c>
      <c r="H17" s="4" t="s">
        <v>326</v>
      </c>
      <c r="I17" s="4">
        <v>2</v>
      </c>
      <c r="J17" s="4">
        <v>2</v>
      </c>
      <c r="K17" s="4">
        <v>5.0000000000000001E-3</v>
      </c>
    </row>
    <row r="18" spans="2:16" x14ac:dyDescent="0.25">
      <c r="B18" s="4">
        <v>16</v>
      </c>
      <c r="C18" s="4">
        <v>4</v>
      </c>
      <c r="D18" s="4" t="s">
        <v>5</v>
      </c>
      <c r="E18" s="4">
        <v>4</v>
      </c>
      <c r="F18" s="4" t="s">
        <v>309</v>
      </c>
      <c r="G18" s="4" t="s">
        <v>310</v>
      </c>
      <c r="H18" s="4" t="s">
        <v>327</v>
      </c>
      <c r="I18" s="4">
        <v>2</v>
      </c>
      <c r="J18" s="4">
        <v>2</v>
      </c>
      <c r="K18" s="4" t="s">
        <v>316</v>
      </c>
    </row>
    <row r="19" spans="2:16" x14ac:dyDescent="0.25">
      <c r="B19" s="4">
        <v>17</v>
      </c>
      <c r="C19" s="4">
        <v>5</v>
      </c>
      <c r="D19" s="4" t="s">
        <v>6</v>
      </c>
      <c r="E19" s="4">
        <v>1</v>
      </c>
      <c r="F19" s="4" t="s">
        <v>309</v>
      </c>
      <c r="G19" s="4" t="s">
        <v>310</v>
      </c>
      <c r="H19" s="4" t="s">
        <v>328</v>
      </c>
      <c r="I19" s="4">
        <v>2</v>
      </c>
      <c r="J19" s="4">
        <v>2</v>
      </c>
      <c r="K19" s="4" t="s">
        <v>316</v>
      </c>
    </row>
    <row r="20" spans="2:16" x14ac:dyDescent="0.25">
      <c r="B20" s="4">
        <v>18</v>
      </c>
      <c r="C20" s="4">
        <v>5</v>
      </c>
      <c r="D20" s="4" t="s">
        <v>7</v>
      </c>
      <c r="E20" s="4">
        <v>2</v>
      </c>
      <c r="F20" s="4" t="s">
        <v>309</v>
      </c>
      <c r="G20" s="4" t="s">
        <v>310</v>
      </c>
      <c r="H20" s="4" t="s">
        <v>329</v>
      </c>
      <c r="I20" s="4">
        <v>2</v>
      </c>
      <c r="J20" s="4">
        <v>2</v>
      </c>
      <c r="K20" s="4">
        <v>8.9999999999999993E-3</v>
      </c>
    </row>
    <row r="21" spans="2:16" x14ac:dyDescent="0.25">
      <c r="B21" s="4">
        <v>19</v>
      </c>
      <c r="C21" s="4">
        <v>5</v>
      </c>
      <c r="D21" s="4" t="s">
        <v>8</v>
      </c>
      <c r="E21" s="4">
        <v>3</v>
      </c>
      <c r="F21" s="4" t="s">
        <v>309</v>
      </c>
      <c r="G21" s="4" t="s">
        <v>310</v>
      </c>
      <c r="H21" s="4" t="s">
        <v>330</v>
      </c>
      <c r="I21" s="4">
        <v>2</v>
      </c>
      <c r="J21" s="4">
        <v>2</v>
      </c>
      <c r="K21" s="4" t="s">
        <v>316</v>
      </c>
    </row>
    <row r="22" spans="2:16" x14ac:dyDescent="0.25">
      <c r="B22" s="4">
        <v>20</v>
      </c>
      <c r="C22" s="4">
        <v>5</v>
      </c>
      <c r="D22" s="4" t="s">
        <v>5</v>
      </c>
      <c r="E22" s="4">
        <v>4</v>
      </c>
      <c r="F22" s="4" t="s">
        <v>309</v>
      </c>
      <c r="G22" s="4" t="s">
        <v>310</v>
      </c>
      <c r="H22" s="4" t="s">
        <v>331</v>
      </c>
      <c r="I22" s="4">
        <v>2</v>
      </c>
      <c r="J22" s="4">
        <v>2</v>
      </c>
      <c r="K22" s="4" t="s">
        <v>316</v>
      </c>
    </row>
    <row r="23" spans="2:16" x14ac:dyDescent="0.25">
      <c r="B23" s="4">
        <v>21</v>
      </c>
      <c r="C23" s="4">
        <v>6</v>
      </c>
      <c r="D23" s="4" t="s">
        <v>5</v>
      </c>
      <c r="E23" s="4">
        <v>1</v>
      </c>
      <c r="F23" s="4" t="s">
        <v>309</v>
      </c>
      <c r="G23" s="4" t="s">
        <v>310</v>
      </c>
      <c r="H23" s="4" t="s">
        <v>332</v>
      </c>
      <c r="I23" s="4">
        <v>2</v>
      </c>
      <c r="J23" s="4">
        <v>2</v>
      </c>
      <c r="K23" s="4" t="s">
        <v>316</v>
      </c>
    </row>
    <row r="24" spans="2:16" x14ac:dyDescent="0.25">
      <c r="B24" s="4">
        <v>22</v>
      </c>
      <c r="C24" s="4">
        <v>6</v>
      </c>
      <c r="D24" s="4" t="s">
        <v>7</v>
      </c>
      <c r="E24" s="4">
        <v>2</v>
      </c>
      <c r="F24" s="4" t="s">
        <v>309</v>
      </c>
      <c r="G24" s="4" t="s">
        <v>310</v>
      </c>
      <c r="H24" s="4" t="s">
        <v>333</v>
      </c>
      <c r="I24" s="4">
        <v>2</v>
      </c>
      <c r="J24" s="4">
        <v>2</v>
      </c>
      <c r="K24" s="4" t="s">
        <v>316</v>
      </c>
    </row>
    <row r="25" spans="2:16" x14ac:dyDescent="0.25">
      <c r="B25" s="4">
        <v>23</v>
      </c>
      <c r="C25" s="4">
        <v>6</v>
      </c>
      <c r="D25" s="4" t="s">
        <v>8</v>
      </c>
      <c r="E25" s="4">
        <v>3</v>
      </c>
      <c r="F25" s="4" t="s">
        <v>309</v>
      </c>
      <c r="G25" s="4" t="s">
        <v>310</v>
      </c>
      <c r="H25" s="4" t="s">
        <v>334</v>
      </c>
      <c r="I25" s="4">
        <v>2</v>
      </c>
      <c r="J25" s="4">
        <v>2</v>
      </c>
      <c r="K25" s="4" t="s">
        <v>316</v>
      </c>
    </row>
    <row r="26" spans="2:16" x14ac:dyDescent="0.25">
      <c r="B26" s="4">
        <v>24</v>
      </c>
      <c r="C26" s="4">
        <v>6</v>
      </c>
      <c r="D26" s="4" t="s">
        <v>6</v>
      </c>
      <c r="E26" s="4">
        <v>4</v>
      </c>
      <c r="F26" s="4" t="s">
        <v>309</v>
      </c>
      <c r="G26" s="4" t="s">
        <v>310</v>
      </c>
      <c r="H26" s="4" t="s">
        <v>335</v>
      </c>
      <c r="I26" s="4">
        <v>2</v>
      </c>
      <c r="J26" s="4">
        <v>5</v>
      </c>
      <c r="K26" s="4">
        <v>1.2999999999999999E-2</v>
      </c>
    </row>
    <row r="27" spans="2:16" x14ac:dyDescent="0.25">
      <c r="B27" s="4">
        <v>25</v>
      </c>
      <c r="C27" s="4">
        <v>7</v>
      </c>
      <c r="D27" s="4" t="s">
        <v>7</v>
      </c>
      <c r="E27" s="4">
        <v>1</v>
      </c>
      <c r="F27" s="4" t="s">
        <v>309</v>
      </c>
      <c r="G27" s="4" t="s">
        <v>310</v>
      </c>
      <c r="H27" s="4" t="s">
        <v>336</v>
      </c>
      <c r="I27" s="4">
        <v>3</v>
      </c>
      <c r="J27" s="4">
        <v>3</v>
      </c>
      <c r="K27" s="4">
        <v>2.5999999999999999E-2</v>
      </c>
    </row>
    <row r="28" spans="2:16" x14ac:dyDescent="0.25">
      <c r="B28" s="4">
        <v>26</v>
      </c>
      <c r="C28" s="4">
        <v>7</v>
      </c>
      <c r="D28" s="4" t="s">
        <v>6</v>
      </c>
      <c r="E28" s="4">
        <v>2</v>
      </c>
      <c r="F28" s="4" t="s">
        <v>309</v>
      </c>
      <c r="G28" s="4" t="s">
        <v>310</v>
      </c>
      <c r="H28" s="4" t="s">
        <v>337</v>
      </c>
      <c r="I28" s="4">
        <v>3</v>
      </c>
      <c r="J28" s="4">
        <v>3</v>
      </c>
      <c r="K28" s="4">
        <v>2.1000000000000001E-2</v>
      </c>
    </row>
    <row r="29" spans="2:16" x14ac:dyDescent="0.25">
      <c r="B29" s="4">
        <v>27</v>
      </c>
      <c r="C29" s="4">
        <v>7</v>
      </c>
      <c r="D29" s="4" t="s">
        <v>8</v>
      </c>
      <c r="E29" s="4">
        <v>3</v>
      </c>
      <c r="F29" s="4" t="s">
        <v>309</v>
      </c>
      <c r="G29" s="4" t="s">
        <v>310</v>
      </c>
      <c r="H29" s="4" t="s">
        <v>338</v>
      </c>
      <c r="I29" s="4">
        <v>3</v>
      </c>
      <c r="J29" s="4">
        <v>3</v>
      </c>
      <c r="K29" s="4" t="s">
        <v>316</v>
      </c>
      <c r="P29" t="s">
        <v>457</v>
      </c>
    </row>
    <row r="30" spans="2:16" x14ac:dyDescent="0.25">
      <c r="B30" s="4">
        <v>28</v>
      </c>
      <c r="C30" s="4">
        <v>7</v>
      </c>
      <c r="D30" s="4" t="s">
        <v>5</v>
      </c>
      <c r="E30" s="4">
        <v>4</v>
      </c>
      <c r="F30" s="4" t="s">
        <v>309</v>
      </c>
      <c r="G30" s="4" t="s">
        <v>310</v>
      </c>
      <c r="H30" s="4" t="s">
        <v>339</v>
      </c>
      <c r="I30" s="4">
        <v>3</v>
      </c>
      <c r="J30" s="4">
        <v>3</v>
      </c>
      <c r="K30" s="4">
        <v>2.8000000000000001E-2</v>
      </c>
    </row>
    <row r="31" spans="2:16" x14ac:dyDescent="0.25">
      <c r="B31" s="4">
        <v>29</v>
      </c>
      <c r="C31" s="4">
        <v>8</v>
      </c>
      <c r="D31" s="4" t="s">
        <v>5</v>
      </c>
      <c r="E31" s="4">
        <v>1</v>
      </c>
      <c r="F31" s="4" t="s">
        <v>309</v>
      </c>
      <c r="G31" s="4" t="s">
        <v>310</v>
      </c>
      <c r="H31" s="4" t="s">
        <v>340</v>
      </c>
      <c r="I31" s="4">
        <v>3</v>
      </c>
      <c r="J31" s="4">
        <v>3</v>
      </c>
      <c r="K31" s="4" t="s">
        <v>316</v>
      </c>
    </row>
    <row r="32" spans="2:16" x14ac:dyDescent="0.25">
      <c r="B32" s="4">
        <v>30</v>
      </c>
      <c r="C32" s="4">
        <v>8</v>
      </c>
      <c r="D32" s="4" t="s">
        <v>8</v>
      </c>
      <c r="E32" s="4">
        <v>2</v>
      </c>
      <c r="F32" s="4" t="s">
        <v>309</v>
      </c>
      <c r="G32" s="4" t="s">
        <v>310</v>
      </c>
      <c r="H32" s="4" t="s">
        <v>341</v>
      </c>
      <c r="I32" s="4">
        <v>3</v>
      </c>
      <c r="J32" s="4">
        <v>5</v>
      </c>
      <c r="K32" s="4">
        <v>1.7999999999999999E-2</v>
      </c>
    </row>
    <row r="33" spans="2:11" x14ac:dyDescent="0.25">
      <c r="B33" s="4">
        <v>31</v>
      </c>
      <c r="C33" s="4">
        <v>8</v>
      </c>
      <c r="D33" s="4" t="s">
        <v>6</v>
      </c>
      <c r="E33" s="4">
        <v>3</v>
      </c>
      <c r="F33" s="4" t="s">
        <v>309</v>
      </c>
      <c r="G33" s="4" t="s">
        <v>310</v>
      </c>
      <c r="H33" s="4" t="s">
        <v>342</v>
      </c>
      <c r="I33" s="4">
        <v>3</v>
      </c>
      <c r="J33" s="4">
        <v>3</v>
      </c>
      <c r="K33" s="4">
        <v>2.1999999999999999E-2</v>
      </c>
    </row>
    <row r="34" spans="2:11" x14ac:dyDescent="0.25">
      <c r="B34" s="4">
        <v>32</v>
      </c>
      <c r="C34" s="4">
        <v>8</v>
      </c>
      <c r="D34" s="4" t="s">
        <v>7</v>
      </c>
      <c r="E34" s="4">
        <v>4</v>
      </c>
      <c r="F34" s="4" t="s">
        <v>309</v>
      </c>
      <c r="G34" s="4" t="s">
        <v>310</v>
      </c>
      <c r="H34" s="4" t="s">
        <v>343</v>
      </c>
      <c r="I34" s="4">
        <v>3</v>
      </c>
      <c r="J34" s="4">
        <v>3</v>
      </c>
      <c r="K34" s="4">
        <v>4.3999999999999997E-2</v>
      </c>
    </row>
    <row r="35" spans="2:11" x14ac:dyDescent="0.25">
      <c r="B35" s="4">
        <v>33</v>
      </c>
      <c r="C35" s="4">
        <v>9</v>
      </c>
      <c r="D35" s="4" t="s">
        <v>8</v>
      </c>
      <c r="E35" s="4">
        <v>1</v>
      </c>
      <c r="F35" s="4" t="s">
        <v>309</v>
      </c>
      <c r="G35" s="4" t="s">
        <v>310</v>
      </c>
      <c r="H35" s="4" t="s">
        <v>344</v>
      </c>
      <c r="I35" s="4">
        <v>3</v>
      </c>
      <c r="J35" s="4">
        <v>3</v>
      </c>
      <c r="K35" s="4">
        <v>4.3999999999999997E-2</v>
      </c>
    </row>
    <row r="36" spans="2:11" x14ac:dyDescent="0.25">
      <c r="B36" s="4">
        <v>34</v>
      </c>
      <c r="C36" s="4">
        <v>9</v>
      </c>
      <c r="D36" s="4" t="s">
        <v>6</v>
      </c>
      <c r="E36" s="4">
        <v>2</v>
      </c>
      <c r="F36" s="4" t="s">
        <v>309</v>
      </c>
      <c r="G36" s="4" t="s">
        <v>310</v>
      </c>
      <c r="H36" s="4" t="s">
        <v>345</v>
      </c>
      <c r="I36" s="4">
        <v>3</v>
      </c>
      <c r="J36" s="4">
        <v>3</v>
      </c>
      <c r="K36" s="4">
        <v>2.5000000000000001E-2</v>
      </c>
    </row>
    <row r="37" spans="2:11" x14ac:dyDescent="0.25">
      <c r="B37" s="4">
        <v>35</v>
      </c>
      <c r="C37" s="4">
        <v>9</v>
      </c>
      <c r="D37" s="4" t="s">
        <v>7</v>
      </c>
      <c r="E37" s="4">
        <v>3</v>
      </c>
      <c r="F37" s="4" t="s">
        <v>309</v>
      </c>
      <c r="G37" s="4" t="s">
        <v>310</v>
      </c>
      <c r="H37" s="4" t="s">
        <v>346</v>
      </c>
      <c r="I37" s="4">
        <v>3</v>
      </c>
      <c r="J37" s="4">
        <v>3</v>
      </c>
      <c r="K37" s="4">
        <v>5.8999999999999997E-2</v>
      </c>
    </row>
    <row r="38" spans="2:11" x14ac:dyDescent="0.25">
      <c r="B38" s="4">
        <v>36</v>
      </c>
      <c r="C38" s="4">
        <v>9</v>
      </c>
      <c r="D38" s="4" t="s">
        <v>5</v>
      </c>
      <c r="E38" s="4">
        <v>4</v>
      </c>
      <c r="F38" s="4" t="s">
        <v>309</v>
      </c>
      <c r="G38" s="4" t="s">
        <v>310</v>
      </c>
      <c r="H38" s="4" t="s">
        <v>347</v>
      </c>
      <c r="I38" s="4">
        <v>3</v>
      </c>
      <c r="J38" s="4">
        <v>3</v>
      </c>
      <c r="K38" s="4" t="s">
        <v>316</v>
      </c>
    </row>
    <row r="39" spans="2:11" x14ac:dyDescent="0.25">
      <c r="B39" s="4">
        <v>37</v>
      </c>
      <c r="C39" s="4">
        <v>10</v>
      </c>
      <c r="D39" s="4" t="s">
        <v>7</v>
      </c>
      <c r="E39" s="4">
        <v>1</v>
      </c>
      <c r="F39" s="4" t="s">
        <v>309</v>
      </c>
      <c r="G39" s="4" t="s">
        <v>310</v>
      </c>
      <c r="H39" s="4" t="s">
        <v>348</v>
      </c>
      <c r="I39" s="4">
        <v>4</v>
      </c>
      <c r="J39" s="4">
        <v>4</v>
      </c>
      <c r="K39" s="4">
        <v>1.6E-2</v>
      </c>
    </row>
    <row r="40" spans="2:11" x14ac:dyDescent="0.25">
      <c r="B40" s="4">
        <v>38</v>
      </c>
      <c r="C40" s="4">
        <v>10</v>
      </c>
      <c r="D40" s="4" t="s">
        <v>6</v>
      </c>
      <c r="E40" s="4">
        <v>2</v>
      </c>
      <c r="F40" s="4" t="s">
        <v>309</v>
      </c>
      <c r="G40" s="4" t="s">
        <v>310</v>
      </c>
      <c r="H40" s="4" t="s">
        <v>349</v>
      </c>
      <c r="I40" s="4">
        <v>4</v>
      </c>
      <c r="J40" s="4">
        <v>4</v>
      </c>
      <c r="K40" s="4">
        <v>0.16300000000000001</v>
      </c>
    </row>
    <row r="41" spans="2:11" x14ac:dyDescent="0.25">
      <c r="B41" s="4">
        <v>39</v>
      </c>
      <c r="C41" s="4">
        <v>10</v>
      </c>
      <c r="D41" s="4" t="s">
        <v>8</v>
      </c>
      <c r="E41" s="4">
        <v>3</v>
      </c>
      <c r="F41" s="4" t="s">
        <v>309</v>
      </c>
      <c r="G41" s="4" t="s">
        <v>310</v>
      </c>
      <c r="H41" s="4" t="s">
        <v>350</v>
      </c>
      <c r="I41" s="4">
        <v>4</v>
      </c>
      <c r="J41" s="4">
        <v>4</v>
      </c>
      <c r="K41">
        <v>9.859999999999999E-4</v>
      </c>
    </row>
    <row r="42" spans="2:11" x14ac:dyDescent="0.25">
      <c r="B42" s="4">
        <v>40</v>
      </c>
      <c r="C42" s="4">
        <v>10</v>
      </c>
      <c r="D42" s="4" t="s">
        <v>5</v>
      </c>
      <c r="E42" s="4">
        <v>4</v>
      </c>
      <c r="F42" s="4" t="s">
        <v>309</v>
      </c>
      <c r="G42" s="4" t="s">
        <v>310</v>
      </c>
      <c r="H42" s="4" t="s">
        <v>351</v>
      </c>
      <c r="I42" s="4">
        <v>4</v>
      </c>
      <c r="J42" s="4">
        <v>4</v>
      </c>
      <c r="K42" s="4">
        <v>1.0999999999999999E-2</v>
      </c>
    </row>
    <row r="43" spans="2:11" x14ac:dyDescent="0.25">
      <c r="B43" s="4">
        <v>41</v>
      </c>
      <c r="C43" s="4">
        <v>11</v>
      </c>
      <c r="D43" s="4" t="s">
        <v>6</v>
      </c>
      <c r="E43" s="4">
        <v>1</v>
      </c>
      <c r="F43" s="4" t="s">
        <v>309</v>
      </c>
      <c r="G43" s="4" t="s">
        <v>310</v>
      </c>
      <c r="H43" s="4" t="s">
        <v>352</v>
      </c>
      <c r="I43" s="4">
        <v>4</v>
      </c>
      <c r="J43" s="4">
        <v>4</v>
      </c>
      <c r="K43" s="4">
        <v>5.5E-2</v>
      </c>
    </row>
    <row r="44" spans="2:11" x14ac:dyDescent="0.25">
      <c r="B44" s="4">
        <v>42</v>
      </c>
      <c r="C44" s="4">
        <v>11</v>
      </c>
      <c r="D44" s="4" t="s">
        <v>7</v>
      </c>
      <c r="E44" s="4">
        <v>2</v>
      </c>
      <c r="F44" s="4" t="s">
        <v>309</v>
      </c>
      <c r="G44" s="4" t="s">
        <v>310</v>
      </c>
      <c r="H44" s="4" t="s">
        <v>353</v>
      </c>
      <c r="I44" s="4">
        <v>4</v>
      </c>
      <c r="J44" s="4">
        <v>4</v>
      </c>
      <c r="K44" s="4">
        <v>0.03</v>
      </c>
    </row>
    <row r="45" spans="2:11" x14ac:dyDescent="0.25">
      <c r="B45" s="4">
        <v>43</v>
      </c>
      <c r="C45" s="4">
        <v>11</v>
      </c>
      <c r="D45" s="4" t="s">
        <v>5</v>
      </c>
      <c r="E45" s="4">
        <v>3</v>
      </c>
      <c r="F45" s="4" t="s">
        <v>309</v>
      </c>
      <c r="G45" s="4" t="s">
        <v>310</v>
      </c>
      <c r="H45" s="4" t="s">
        <v>354</v>
      </c>
      <c r="I45" s="4">
        <v>4</v>
      </c>
      <c r="J45" s="4">
        <v>4</v>
      </c>
      <c r="K45" s="4">
        <v>1.4E-2</v>
      </c>
    </row>
    <row r="46" spans="2:11" x14ac:dyDescent="0.25">
      <c r="B46" s="4">
        <v>44</v>
      </c>
      <c r="C46" s="4">
        <v>11</v>
      </c>
      <c r="D46" s="4" t="s">
        <v>8</v>
      </c>
      <c r="E46" s="4">
        <v>4</v>
      </c>
      <c r="F46" s="4" t="s">
        <v>309</v>
      </c>
      <c r="G46" s="4" t="s">
        <v>310</v>
      </c>
      <c r="H46" s="4" t="s">
        <v>355</v>
      </c>
      <c r="I46" s="4">
        <v>4</v>
      </c>
      <c r="J46" s="4">
        <v>4</v>
      </c>
      <c r="K46" s="4">
        <v>1.7999999999999999E-2</v>
      </c>
    </row>
    <row r="47" spans="2:11" x14ac:dyDescent="0.25">
      <c r="B47" s="4">
        <v>45</v>
      </c>
      <c r="C47" s="4">
        <v>12</v>
      </c>
      <c r="D47" s="4" t="s">
        <v>7</v>
      </c>
      <c r="E47" s="4">
        <v>1</v>
      </c>
      <c r="F47" s="4" t="s">
        <v>309</v>
      </c>
      <c r="G47" s="4" t="s">
        <v>310</v>
      </c>
      <c r="H47" s="4" t="s">
        <v>356</v>
      </c>
      <c r="I47" s="4">
        <v>4</v>
      </c>
      <c r="J47" s="4">
        <v>4</v>
      </c>
      <c r="K47" s="4">
        <v>1.4E-2</v>
      </c>
    </row>
    <row r="48" spans="2:11" x14ac:dyDescent="0.25">
      <c r="B48" s="4">
        <v>46</v>
      </c>
      <c r="C48" s="4">
        <v>12</v>
      </c>
      <c r="D48" s="4" t="s">
        <v>6</v>
      </c>
      <c r="E48" s="4">
        <v>2</v>
      </c>
      <c r="F48" s="4" t="s">
        <v>309</v>
      </c>
      <c r="G48" s="4" t="s">
        <v>310</v>
      </c>
      <c r="H48" s="4" t="s">
        <v>357</v>
      </c>
      <c r="I48" s="4">
        <v>4</v>
      </c>
      <c r="J48" s="4">
        <v>4</v>
      </c>
      <c r="K48" s="4">
        <v>0.184</v>
      </c>
    </row>
    <row r="49" spans="1:16" x14ac:dyDescent="0.25">
      <c r="A49" s="4" t="s">
        <v>233</v>
      </c>
      <c r="B49" s="4">
        <v>47</v>
      </c>
      <c r="C49" s="4">
        <v>12</v>
      </c>
      <c r="D49" s="4" t="s">
        <v>5</v>
      </c>
      <c r="E49" s="4">
        <v>3</v>
      </c>
      <c r="F49" s="4" t="s">
        <v>309</v>
      </c>
      <c r="G49" s="4" t="s">
        <v>310</v>
      </c>
      <c r="H49" s="4" t="s">
        <v>358</v>
      </c>
      <c r="I49" s="4">
        <v>4</v>
      </c>
      <c r="J49" s="4" t="s">
        <v>462</v>
      </c>
      <c r="K49" s="4" t="s">
        <v>462</v>
      </c>
    </row>
    <row r="50" spans="1:16" x14ac:dyDescent="0.25">
      <c r="B50" s="4">
        <v>48</v>
      </c>
      <c r="C50" s="4">
        <v>12</v>
      </c>
      <c r="D50" s="4" t="s">
        <v>8</v>
      </c>
      <c r="E50" s="4">
        <v>4</v>
      </c>
      <c r="F50" s="4" t="s">
        <v>309</v>
      </c>
      <c r="G50" s="4" t="s">
        <v>310</v>
      </c>
      <c r="H50" s="4" t="s">
        <v>359</v>
      </c>
      <c r="I50" s="4">
        <v>4</v>
      </c>
      <c r="J50" s="4">
        <v>4</v>
      </c>
      <c r="K50" s="4">
        <v>2.3E-2</v>
      </c>
    </row>
    <row r="51" spans="1:16" x14ac:dyDescent="0.25">
      <c r="B51" s="4">
        <v>49</v>
      </c>
      <c r="C51" s="4">
        <v>13</v>
      </c>
      <c r="D51" s="4" t="s">
        <v>6</v>
      </c>
      <c r="E51" s="4">
        <v>1</v>
      </c>
      <c r="F51" s="4" t="s">
        <v>309</v>
      </c>
      <c r="G51" s="4" t="s">
        <v>310</v>
      </c>
      <c r="H51" s="4" t="s">
        <v>360</v>
      </c>
      <c r="I51" s="4">
        <v>5</v>
      </c>
      <c r="J51" s="4">
        <v>5</v>
      </c>
      <c r="K51" s="4">
        <v>5.8000000000000003E-2</v>
      </c>
      <c r="P51" t="s">
        <v>463</v>
      </c>
    </row>
    <row r="52" spans="1:16" x14ac:dyDescent="0.25">
      <c r="A52" s="4" t="s">
        <v>233</v>
      </c>
      <c r="B52" s="4">
        <v>50</v>
      </c>
      <c r="C52" s="4">
        <v>13</v>
      </c>
      <c r="D52" s="4" t="s">
        <v>8</v>
      </c>
      <c r="E52" s="4">
        <v>2</v>
      </c>
      <c r="F52" s="4" t="s">
        <v>309</v>
      </c>
      <c r="G52" s="4" t="s">
        <v>310</v>
      </c>
      <c r="H52" s="4" t="s">
        <v>361</v>
      </c>
      <c r="I52" s="4">
        <v>5</v>
      </c>
      <c r="J52" s="4" t="s">
        <v>462</v>
      </c>
      <c r="K52" s="4" t="s">
        <v>462</v>
      </c>
    </row>
    <row r="53" spans="1:16" x14ac:dyDescent="0.25">
      <c r="A53" s="4" t="s">
        <v>233</v>
      </c>
      <c r="B53" s="4">
        <v>51</v>
      </c>
      <c r="C53" s="4">
        <v>13</v>
      </c>
      <c r="D53" s="4" t="s">
        <v>7</v>
      </c>
      <c r="E53" s="4">
        <v>3</v>
      </c>
      <c r="F53" s="4" t="s">
        <v>309</v>
      </c>
      <c r="G53" s="4" t="s">
        <v>310</v>
      </c>
      <c r="H53" s="4" t="s">
        <v>362</v>
      </c>
      <c r="I53" s="4">
        <v>5</v>
      </c>
      <c r="J53" s="4" t="s">
        <v>462</v>
      </c>
      <c r="K53" s="4" t="s">
        <v>462</v>
      </c>
    </row>
    <row r="54" spans="1:16" x14ac:dyDescent="0.25">
      <c r="B54" s="4">
        <v>52</v>
      </c>
      <c r="C54" s="4">
        <v>13</v>
      </c>
      <c r="D54" s="4" t="s">
        <v>5</v>
      </c>
      <c r="E54" s="4">
        <v>4</v>
      </c>
      <c r="F54" s="4" t="s">
        <v>309</v>
      </c>
      <c r="G54" s="4" t="s">
        <v>310</v>
      </c>
      <c r="H54" s="4" t="s">
        <v>363</v>
      </c>
      <c r="I54" s="4">
        <v>5</v>
      </c>
      <c r="J54" s="4">
        <v>5</v>
      </c>
      <c r="K54" s="4">
        <v>1.2999999999999999E-2</v>
      </c>
    </row>
    <row r="55" spans="1:16" x14ac:dyDescent="0.25">
      <c r="A55" s="4" t="s">
        <v>233</v>
      </c>
      <c r="B55" s="4">
        <v>53</v>
      </c>
      <c r="C55" s="4">
        <v>14</v>
      </c>
      <c r="D55" s="4" t="s">
        <v>6</v>
      </c>
      <c r="E55" s="4">
        <v>1</v>
      </c>
      <c r="F55" s="4" t="s">
        <v>309</v>
      </c>
      <c r="G55" s="4" t="s">
        <v>310</v>
      </c>
      <c r="H55" s="4" t="s">
        <v>364</v>
      </c>
      <c r="I55" s="4">
        <v>5</v>
      </c>
      <c r="J55" s="4" t="s">
        <v>462</v>
      </c>
      <c r="K55" s="4" t="s">
        <v>462</v>
      </c>
    </row>
    <row r="56" spans="1:16" x14ac:dyDescent="0.25">
      <c r="A56" s="4" t="s">
        <v>233</v>
      </c>
      <c r="B56" s="4">
        <v>54</v>
      </c>
      <c r="C56" s="4">
        <v>14</v>
      </c>
      <c r="D56" s="4" t="s">
        <v>5</v>
      </c>
      <c r="E56" s="4">
        <v>2</v>
      </c>
      <c r="F56" s="4" t="s">
        <v>309</v>
      </c>
      <c r="G56" s="4" t="s">
        <v>310</v>
      </c>
      <c r="H56" s="4" t="s">
        <v>365</v>
      </c>
      <c r="I56" s="4">
        <v>5</v>
      </c>
      <c r="J56" s="4" t="s">
        <v>462</v>
      </c>
      <c r="K56" s="4" t="s">
        <v>462</v>
      </c>
    </row>
    <row r="57" spans="1:16" x14ac:dyDescent="0.25">
      <c r="A57" s="4" t="s">
        <v>233</v>
      </c>
      <c r="B57" s="4">
        <v>55</v>
      </c>
      <c r="C57" s="4">
        <v>14</v>
      </c>
      <c r="D57" s="4" t="s">
        <v>8</v>
      </c>
      <c r="E57" s="4">
        <v>3</v>
      </c>
      <c r="F57" s="4" t="s">
        <v>309</v>
      </c>
      <c r="G57" s="4" t="s">
        <v>310</v>
      </c>
      <c r="H57" s="4" t="s">
        <v>366</v>
      </c>
      <c r="I57" s="4">
        <v>5</v>
      </c>
      <c r="J57" s="4" t="s">
        <v>462</v>
      </c>
      <c r="K57" s="4" t="s">
        <v>462</v>
      </c>
    </row>
    <row r="58" spans="1:16" x14ac:dyDescent="0.25">
      <c r="B58" s="4">
        <v>56</v>
      </c>
      <c r="C58" s="4">
        <v>14</v>
      </c>
      <c r="D58" s="4" t="s">
        <v>7</v>
      </c>
      <c r="E58" s="4">
        <v>4</v>
      </c>
      <c r="F58" s="4" t="s">
        <v>309</v>
      </c>
      <c r="G58" s="4" t="s">
        <v>310</v>
      </c>
      <c r="H58" s="4" t="s">
        <v>367</v>
      </c>
      <c r="I58" s="4">
        <v>5</v>
      </c>
      <c r="J58" s="4">
        <v>5</v>
      </c>
      <c r="K58" s="4">
        <v>0.253</v>
      </c>
    </row>
    <row r="59" spans="1:16" x14ac:dyDescent="0.25">
      <c r="B59" s="4">
        <v>57</v>
      </c>
      <c r="C59" s="8" t="s">
        <v>70</v>
      </c>
      <c r="D59" s="8" t="s">
        <v>69</v>
      </c>
      <c r="E59" s="8" t="s">
        <v>70</v>
      </c>
      <c r="F59" s="8" t="s">
        <v>368</v>
      </c>
      <c r="G59" s="8" t="s">
        <v>310</v>
      </c>
      <c r="H59" s="4" t="s">
        <v>369</v>
      </c>
      <c r="I59" s="4">
        <v>5</v>
      </c>
      <c r="J59" s="4">
        <v>2</v>
      </c>
      <c r="K59" s="4" t="s">
        <v>316</v>
      </c>
      <c r="P59" s="4"/>
    </row>
    <row r="60" spans="1:16" x14ac:dyDescent="0.25">
      <c r="B60" s="4">
        <v>58</v>
      </c>
      <c r="C60" s="8" t="s">
        <v>70</v>
      </c>
      <c r="D60" s="8" t="s">
        <v>69</v>
      </c>
      <c r="E60" s="8" t="s">
        <v>70</v>
      </c>
      <c r="F60" s="8" t="s">
        <v>368</v>
      </c>
      <c r="G60" s="8" t="s">
        <v>310</v>
      </c>
      <c r="H60" s="4" t="s">
        <v>370</v>
      </c>
      <c r="I60" s="4">
        <v>5</v>
      </c>
      <c r="J60" s="4">
        <v>3</v>
      </c>
      <c r="K60" s="4">
        <v>2.1999999999999999E-2</v>
      </c>
      <c r="P60" s="4"/>
    </row>
    <row r="61" spans="1:16" x14ac:dyDescent="0.25">
      <c r="B61" s="4">
        <v>59</v>
      </c>
      <c r="C61" s="8" t="s">
        <v>70</v>
      </c>
      <c r="D61" s="8" t="s">
        <v>69</v>
      </c>
      <c r="E61" s="8" t="s">
        <v>70</v>
      </c>
      <c r="F61" s="8" t="s">
        <v>368</v>
      </c>
      <c r="G61" s="8" t="s">
        <v>310</v>
      </c>
      <c r="H61" s="4" t="s">
        <v>371</v>
      </c>
      <c r="I61" s="4">
        <v>5</v>
      </c>
      <c r="J61" s="4">
        <v>4</v>
      </c>
      <c r="K61" s="4">
        <v>6.0000000000000001E-3</v>
      </c>
      <c r="P61" s="4"/>
    </row>
    <row r="62" spans="1:16" x14ac:dyDescent="0.25">
      <c r="B62" s="4">
        <v>60</v>
      </c>
      <c r="C62" s="8" t="s">
        <v>70</v>
      </c>
      <c r="D62" s="8" t="s">
        <v>69</v>
      </c>
      <c r="E62" s="8" t="s">
        <v>70</v>
      </c>
      <c r="F62" s="8" t="s">
        <v>368</v>
      </c>
      <c r="G62" s="8" t="s">
        <v>310</v>
      </c>
      <c r="H62" s="4" t="s">
        <v>372</v>
      </c>
      <c r="I62" s="4">
        <v>5</v>
      </c>
      <c r="J62" s="4">
        <v>5</v>
      </c>
      <c r="K62" s="4">
        <v>3.0000000000000001E-3</v>
      </c>
      <c r="P62" s="4"/>
    </row>
    <row r="63" spans="1:16" x14ac:dyDescent="0.25">
      <c r="B63" s="4">
        <v>1</v>
      </c>
      <c r="C63" s="4">
        <v>1</v>
      </c>
      <c r="D63" s="4" t="s">
        <v>5</v>
      </c>
      <c r="E63" s="4">
        <v>1</v>
      </c>
      <c r="F63" s="4" t="s">
        <v>373</v>
      </c>
      <c r="G63" s="4" t="s">
        <v>374</v>
      </c>
      <c r="H63" s="4" t="s">
        <v>375</v>
      </c>
      <c r="I63" s="4">
        <v>1</v>
      </c>
      <c r="J63" s="4">
        <v>1</v>
      </c>
      <c r="K63" s="4">
        <v>40.5</v>
      </c>
      <c r="L63" s="4">
        <v>47.186</v>
      </c>
      <c r="M63" s="4">
        <v>0.94369999999999998</v>
      </c>
      <c r="N63" s="4">
        <v>1.8</v>
      </c>
      <c r="O63" s="4">
        <v>0.47</v>
      </c>
    </row>
    <row r="64" spans="1:16" x14ac:dyDescent="0.25">
      <c r="B64" s="4">
        <v>2</v>
      </c>
      <c r="C64" s="4">
        <v>1</v>
      </c>
      <c r="D64" s="4" t="s">
        <v>6</v>
      </c>
      <c r="E64" s="4">
        <v>2</v>
      </c>
      <c r="F64" s="4" t="s">
        <v>373</v>
      </c>
      <c r="G64" s="4" t="s">
        <v>374</v>
      </c>
      <c r="H64" s="4" t="s">
        <v>376</v>
      </c>
      <c r="I64" s="4">
        <v>1</v>
      </c>
      <c r="J64" s="4">
        <v>1</v>
      </c>
      <c r="K64" s="4">
        <v>82.25</v>
      </c>
      <c r="L64" s="4">
        <v>95.135000000000005</v>
      </c>
      <c r="M64" s="4">
        <v>1.9027000000000001</v>
      </c>
      <c r="N64" s="4">
        <v>1.88</v>
      </c>
      <c r="O64" s="4">
        <v>1.23</v>
      </c>
    </row>
    <row r="65" spans="2:17" x14ac:dyDescent="0.25">
      <c r="B65" s="4">
        <v>3</v>
      </c>
      <c r="C65" s="4">
        <v>1</v>
      </c>
      <c r="D65" s="4" t="s">
        <v>7</v>
      </c>
      <c r="E65" s="4">
        <v>3</v>
      </c>
      <c r="F65" s="4" t="s">
        <v>373</v>
      </c>
      <c r="G65" s="4" t="s">
        <v>374</v>
      </c>
      <c r="H65" s="4" t="s">
        <v>377</v>
      </c>
      <c r="I65" s="4">
        <v>1</v>
      </c>
      <c r="J65" s="4">
        <v>1</v>
      </c>
      <c r="K65" s="4">
        <v>74.3</v>
      </c>
      <c r="L65" s="4">
        <v>76.132999999999996</v>
      </c>
      <c r="M65" s="4">
        <v>1.5226999999999999</v>
      </c>
      <c r="N65" s="4">
        <v>1.92</v>
      </c>
      <c r="O65" s="4">
        <v>0.88</v>
      </c>
    </row>
    <row r="66" spans="2:17" x14ac:dyDescent="0.25">
      <c r="B66" s="4">
        <v>4</v>
      </c>
      <c r="C66" s="4">
        <v>1</v>
      </c>
      <c r="D66" s="4" t="s">
        <v>8</v>
      </c>
      <c r="E66" s="4">
        <v>4</v>
      </c>
      <c r="F66" s="4" t="s">
        <v>373</v>
      </c>
      <c r="G66" s="4" t="s">
        <v>374</v>
      </c>
      <c r="H66" s="4" t="s">
        <v>378</v>
      </c>
      <c r="I66" s="4">
        <v>1</v>
      </c>
      <c r="J66" s="4">
        <v>1</v>
      </c>
      <c r="K66" s="4">
        <v>69.5</v>
      </c>
      <c r="L66" s="4">
        <v>87.665999999999997</v>
      </c>
      <c r="M66" s="4">
        <v>1.7533000000000001</v>
      </c>
      <c r="N66" s="4">
        <v>1.82</v>
      </c>
      <c r="O66" s="4">
        <v>1.68</v>
      </c>
    </row>
    <row r="67" spans="2:17" x14ac:dyDescent="0.25">
      <c r="B67" s="4">
        <v>5</v>
      </c>
      <c r="C67" s="4">
        <v>2</v>
      </c>
      <c r="D67" s="4" t="s">
        <v>6</v>
      </c>
      <c r="E67" s="4">
        <v>1</v>
      </c>
      <c r="F67" s="4" t="s">
        <v>373</v>
      </c>
      <c r="G67" s="4" t="s">
        <v>374</v>
      </c>
      <c r="H67" s="4" t="s">
        <v>379</v>
      </c>
      <c r="I67" s="4">
        <v>1</v>
      </c>
      <c r="J67" s="4">
        <v>1</v>
      </c>
      <c r="K67" s="4">
        <v>51.3</v>
      </c>
    </row>
    <row r="68" spans="2:17" x14ac:dyDescent="0.25">
      <c r="B68" s="4">
        <v>6</v>
      </c>
      <c r="C68" s="4">
        <v>2</v>
      </c>
      <c r="D68" s="4" t="s">
        <v>8</v>
      </c>
      <c r="E68" s="4">
        <v>2</v>
      </c>
      <c r="F68" s="4" t="s">
        <v>373</v>
      </c>
      <c r="G68" s="4" t="s">
        <v>374</v>
      </c>
      <c r="H68" s="4" t="s">
        <v>380</v>
      </c>
      <c r="I68" s="4">
        <v>1</v>
      </c>
      <c r="J68" s="4">
        <v>1</v>
      </c>
      <c r="K68" s="4">
        <v>71.7</v>
      </c>
    </row>
    <row r="69" spans="2:17" x14ac:dyDescent="0.25">
      <c r="B69" s="30">
        <v>7</v>
      </c>
      <c r="C69" s="4">
        <v>2</v>
      </c>
      <c r="D69" s="4" t="s">
        <v>7</v>
      </c>
      <c r="E69" s="4">
        <v>3</v>
      </c>
      <c r="F69" s="4" t="s">
        <v>373</v>
      </c>
      <c r="G69" s="4" t="s">
        <v>374</v>
      </c>
      <c r="H69" s="4" t="s">
        <v>381</v>
      </c>
      <c r="I69" s="4">
        <v>1</v>
      </c>
      <c r="J69" s="30">
        <v>1</v>
      </c>
      <c r="K69" s="4">
        <v>70.400000000000006</v>
      </c>
      <c r="P69" s="31" t="s">
        <v>459</v>
      </c>
    </row>
    <row r="70" spans="2:17" x14ac:dyDescent="0.25">
      <c r="B70" s="4">
        <v>8</v>
      </c>
      <c r="C70" s="4">
        <v>2</v>
      </c>
      <c r="D70" s="4" t="s">
        <v>5</v>
      </c>
      <c r="E70" s="4">
        <v>4</v>
      </c>
      <c r="F70" s="4" t="s">
        <v>373</v>
      </c>
      <c r="G70" s="4" t="s">
        <v>374</v>
      </c>
      <c r="H70" s="4" t="s">
        <v>382</v>
      </c>
      <c r="I70" s="4">
        <v>1</v>
      </c>
      <c r="J70" s="4">
        <v>1</v>
      </c>
      <c r="K70" s="4">
        <v>58.6</v>
      </c>
    </row>
    <row r="71" spans="2:17" x14ac:dyDescent="0.25">
      <c r="B71" s="4">
        <v>9</v>
      </c>
      <c r="C71" s="4">
        <v>3</v>
      </c>
      <c r="D71" s="4" t="s">
        <v>7</v>
      </c>
      <c r="E71" s="4">
        <v>1</v>
      </c>
      <c r="F71" s="4" t="s">
        <v>373</v>
      </c>
      <c r="G71" s="4" t="s">
        <v>374</v>
      </c>
      <c r="H71" s="4" t="s">
        <v>383</v>
      </c>
      <c r="I71" s="4">
        <v>1</v>
      </c>
      <c r="J71" s="4">
        <v>1</v>
      </c>
      <c r="K71" s="4">
        <v>127.7</v>
      </c>
      <c r="Q71" s="4"/>
    </row>
    <row r="72" spans="2:17" x14ac:dyDescent="0.25">
      <c r="B72" s="4">
        <v>10</v>
      </c>
      <c r="C72" s="4">
        <v>3</v>
      </c>
      <c r="D72" s="4" t="s">
        <v>8</v>
      </c>
      <c r="E72" s="4">
        <v>2</v>
      </c>
      <c r="F72" s="4" t="s">
        <v>373</v>
      </c>
      <c r="G72" s="4" t="s">
        <v>374</v>
      </c>
      <c r="H72" s="4" t="s">
        <v>384</v>
      </c>
      <c r="I72" s="4">
        <v>1</v>
      </c>
      <c r="J72" s="4">
        <v>1</v>
      </c>
      <c r="K72" s="4" t="s">
        <v>316</v>
      </c>
      <c r="Q72" s="4"/>
    </row>
    <row r="73" spans="2:17" x14ac:dyDescent="0.25">
      <c r="B73" s="4">
        <v>11</v>
      </c>
      <c r="C73" s="4">
        <v>3</v>
      </c>
      <c r="D73" s="4" t="s">
        <v>5</v>
      </c>
      <c r="E73" s="4">
        <v>3</v>
      </c>
      <c r="F73" s="4" t="s">
        <v>373</v>
      </c>
      <c r="G73" s="4" t="s">
        <v>374</v>
      </c>
      <c r="H73" s="4" t="s">
        <v>385</v>
      </c>
      <c r="I73" s="4">
        <v>1</v>
      </c>
      <c r="J73" s="4">
        <v>1</v>
      </c>
      <c r="K73" s="4">
        <v>50.3</v>
      </c>
      <c r="Q73" s="4"/>
    </row>
    <row r="74" spans="2:17" x14ac:dyDescent="0.25">
      <c r="B74" s="4">
        <v>12</v>
      </c>
      <c r="C74" s="4">
        <v>3</v>
      </c>
      <c r="D74" s="4" t="s">
        <v>6</v>
      </c>
      <c r="E74" s="4">
        <v>4</v>
      </c>
      <c r="F74" s="4" t="s">
        <v>373</v>
      </c>
      <c r="G74" s="4" t="s">
        <v>374</v>
      </c>
      <c r="H74" s="4" t="s">
        <v>386</v>
      </c>
      <c r="I74" s="4">
        <v>1</v>
      </c>
      <c r="J74" s="4">
        <v>1</v>
      </c>
      <c r="K74" s="4">
        <v>51.4</v>
      </c>
      <c r="Q74" s="4"/>
    </row>
    <row r="75" spans="2:17" x14ac:dyDescent="0.25">
      <c r="B75" s="4">
        <v>13</v>
      </c>
      <c r="C75" s="4">
        <v>4</v>
      </c>
      <c r="D75" s="4" t="s">
        <v>8</v>
      </c>
      <c r="E75" s="4">
        <v>1</v>
      </c>
      <c r="F75" s="4" t="s">
        <v>373</v>
      </c>
      <c r="G75" s="4" t="s">
        <v>374</v>
      </c>
      <c r="H75" s="4" t="s">
        <v>387</v>
      </c>
      <c r="I75" s="4">
        <v>2</v>
      </c>
      <c r="J75" s="4">
        <v>2</v>
      </c>
      <c r="K75" s="4">
        <v>33.1</v>
      </c>
    </row>
    <row r="76" spans="2:17" x14ac:dyDescent="0.25">
      <c r="B76" s="4">
        <v>14</v>
      </c>
      <c r="C76" s="4">
        <v>4</v>
      </c>
      <c r="D76" s="4" t="s">
        <v>6</v>
      </c>
      <c r="E76" s="4">
        <v>2</v>
      </c>
      <c r="F76" s="4" t="s">
        <v>373</v>
      </c>
      <c r="G76" s="4" t="s">
        <v>374</v>
      </c>
      <c r="H76" s="4" t="s">
        <v>388</v>
      </c>
      <c r="I76" s="4">
        <v>2</v>
      </c>
      <c r="J76" s="4">
        <v>2</v>
      </c>
      <c r="K76" s="4">
        <v>60.3</v>
      </c>
    </row>
    <row r="77" spans="2:17" x14ac:dyDescent="0.25">
      <c r="B77" s="4">
        <v>15</v>
      </c>
      <c r="C77" s="4">
        <v>4</v>
      </c>
      <c r="D77" s="4" t="s">
        <v>7</v>
      </c>
      <c r="E77" s="4">
        <v>3</v>
      </c>
      <c r="F77" s="4" t="s">
        <v>373</v>
      </c>
      <c r="G77" s="4" t="s">
        <v>374</v>
      </c>
      <c r="H77" s="4" t="s">
        <v>389</v>
      </c>
      <c r="I77" s="4">
        <v>2</v>
      </c>
      <c r="J77" s="4">
        <v>2</v>
      </c>
      <c r="K77" s="4">
        <v>53.1</v>
      </c>
    </row>
    <row r="78" spans="2:17" x14ac:dyDescent="0.25">
      <c r="B78" s="4">
        <v>16</v>
      </c>
      <c r="C78" s="4">
        <v>4</v>
      </c>
      <c r="D78" s="4" t="s">
        <v>5</v>
      </c>
      <c r="E78" s="4">
        <v>4</v>
      </c>
      <c r="F78" s="4" t="s">
        <v>373</v>
      </c>
      <c r="G78" s="4" t="s">
        <v>374</v>
      </c>
      <c r="H78" s="4" t="s">
        <v>390</v>
      </c>
      <c r="I78" s="4">
        <v>2</v>
      </c>
      <c r="J78" s="4">
        <v>2</v>
      </c>
      <c r="K78" s="4">
        <v>33</v>
      </c>
    </row>
    <row r="79" spans="2:17" x14ac:dyDescent="0.25">
      <c r="B79" s="4">
        <v>17</v>
      </c>
      <c r="C79" s="4">
        <v>5</v>
      </c>
      <c r="D79" s="4" t="s">
        <v>6</v>
      </c>
      <c r="E79" s="4">
        <v>1</v>
      </c>
      <c r="F79" s="4" t="s">
        <v>373</v>
      </c>
      <c r="G79" s="4" t="s">
        <v>374</v>
      </c>
      <c r="H79" s="4" t="s">
        <v>391</v>
      </c>
      <c r="I79" s="4">
        <v>2</v>
      </c>
      <c r="J79" s="4">
        <v>2</v>
      </c>
      <c r="K79" s="4">
        <v>36.4</v>
      </c>
    </row>
    <row r="80" spans="2:17" x14ac:dyDescent="0.25">
      <c r="B80" s="4">
        <v>18</v>
      </c>
      <c r="C80" s="4">
        <v>5</v>
      </c>
      <c r="D80" s="4" t="s">
        <v>7</v>
      </c>
      <c r="E80" s="4">
        <v>2</v>
      </c>
      <c r="F80" s="4" t="s">
        <v>373</v>
      </c>
      <c r="G80" s="4" t="s">
        <v>374</v>
      </c>
      <c r="H80" s="4" t="s">
        <v>392</v>
      </c>
      <c r="I80" s="4">
        <v>2</v>
      </c>
      <c r="J80" s="4">
        <v>2</v>
      </c>
      <c r="K80" s="4">
        <v>41.2</v>
      </c>
    </row>
    <row r="81" spans="2:11" x14ac:dyDescent="0.25">
      <c r="B81" s="4">
        <v>19</v>
      </c>
      <c r="C81" s="4">
        <v>5</v>
      </c>
      <c r="D81" s="4" t="s">
        <v>8</v>
      </c>
      <c r="E81" s="4">
        <v>3</v>
      </c>
      <c r="F81" s="4" t="s">
        <v>373</v>
      </c>
      <c r="G81" s="4" t="s">
        <v>374</v>
      </c>
      <c r="H81" s="4" t="s">
        <v>393</v>
      </c>
      <c r="I81" s="4">
        <v>2</v>
      </c>
      <c r="J81" s="4">
        <v>2</v>
      </c>
      <c r="K81" s="4">
        <v>51.2</v>
      </c>
    </row>
    <row r="82" spans="2:11" x14ac:dyDescent="0.25">
      <c r="B82" s="4">
        <v>20</v>
      </c>
      <c r="C82" s="4">
        <v>5</v>
      </c>
      <c r="D82" s="4" t="s">
        <v>5</v>
      </c>
      <c r="E82" s="4">
        <v>4</v>
      </c>
      <c r="F82" s="4" t="s">
        <v>373</v>
      </c>
      <c r="G82" s="4" t="s">
        <v>374</v>
      </c>
      <c r="H82" s="4" t="s">
        <v>394</v>
      </c>
      <c r="I82" s="4">
        <v>2</v>
      </c>
      <c r="J82" s="4">
        <v>2</v>
      </c>
      <c r="K82" s="4">
        <v>62.8</v>
      </c>
    </row>
    <row r="83" spans="2:11" x14ac:dyDescent="0.25">
      <c r="B83" s="4">
        <v>21</v>
      </c>
      <c r="C83" s="4">
        <v>6</v>
      </c>
      <c r="D83" s="4" t="s">
        <v>5</v>
      </c>
      <c r="E83" s="4">
        <v>1</v>
      </c>
      <c r="F83" s="4" t="s">
        <v>373</v>
      </c>
      <c r="G83" s="4" t="s">
        <v>374</v>
      </c>
      <c r="H83" s="4" t="s">
        <v>395</v>
      </c>
      <c r="I83" s="4">
        <v>2</v>
      </c>
      <c r="J83" s="4">
        <v>2</v>
      </c>
      <c r="K83" s="4">
        <v>51.6</v>
      </c>
    </row>
    <row r="84" spans="2:11" x14ac:dyDescent="0.25">
      <c r="B84" s="4">
        <v>22</v>
      </c>
      <c r="C84" s="4">
        <v>6</v>
      </c>
      <c r="D84" s="4" t="s">
        <v>7</v>
      </c>
      <c r="E84" s="4">
        <v>2</v>
      </c>
      <c r="F84" s="4" t="s">
        <v>373</v>
      </c>
      <c r="G84" s="4" t="s">
        <v>374</v>
      </c>
      <c r="H84" s="4" t="s">
        <v>396</v>
      </c>
      <c r="I84" s="4">
        <v>2</v>
      </c>
      <c r="J84" s="4">
        <v>2</v>
      </c>
      <c r="K84" s="4">
        <v>42</v>
      </c>
    </row>
    <row r="85" spans="2:11" x14ac:dyDescent="0.25">
      <c r="B85" s="4">
        <v>23</v>
      </c>
      <c r="C85" s="4">
        <v>6</v>
      </c>
      <c r="D85" s="4" t="s">
        <v>8</v>
      </c>
      <c r="E85" s="4">
        <v>3</v>
      </c>
      <c r="F85" s="4" t="s">
        <v>373</v>
      </c>
      <c r="G85" s="4" t="s">
        <v>374</v>
      </c>
      <c r="H85" s="4" t="s">
        <v>397</v>
      </c>
      <c r="I85" s="4">
        <v>2</v>
      </c>
      <c r="J85" s="4">
        <v>2</v>
      </c>
      <c r="K85" s="4">
        <v>28.4</v>
      </c>
    </row>
    <row r="86" spans="2:11" x14ac:dyDescent="0.25">
      <c r="B86" s="4">
        <v>24</v>
      </c>
      <c r="C86" s="4">
        <v>6</v>
      </c>
      <c r="D86" s="4" t="s">
        <v>6</v>
      </c>
      <c r="E86" s="4">
        <v>4</v>
      </c>
      <c r="F86" s="4" t="s">
        <v>373</v>
      </c>
      <c r="G86" s="4" t="s">
        <v>374</v>
      </c>
      <c r="H86" s="4" t="s">
        <v>398</v>
      </c>
      <c r="I86" s="4">
        <v>2</v>
      </c>
      <c r="J86" s="4">
        <v>5</v>
      </c>
      <c r="K86" s="4">
        <v>54.9</v>
      </c>
    </row>
    <row r="87" spans="2:11" x14ac:dyDescent="0.25">
      <c r="B87" s="4">
        <v>25</v>
      </c>
      <c r="C87" s="4">
        <v>7</v>
      </c>
      <c r="D87" s="4" t="s">
        <v>7</v>
      </c>
      <c r="E87" s="4">
        <v>1</v>
      </c>
      <c r="F87" s="4" t="s">
        <v>373</v>
      </c>
      <c r="G87" s="4" t="s">
        <v>374</v>
      </c>
      <c r="H87" s="4" t="s">
        <v>399</v>
      </c>
      <c r="I87" s="4">
        <v>3</v>
      </c>
      <c r="J87" s="4">
        <v>3</v>
      </c>
      <c r="K87" s="4">
        <v>54.8</v>
      </c>
    </row>
    <row r="88" spans="2:11" x14ac:dyDescent="0.25">
      <c r="B88" s="4">
        <v>26</v>
      </c>
      <c r="C88" s="4">
        <v>7</v>
      </c>
      <c r="D88" s="4" t="s">
        <v>6</v>
      </c>
      <c r="E88" s="4">
        <v>2</v>
      </c>
      <c r="F88" s="4" t="s">
        <v>373</v>
      </c>
      <c r="G88" s="4" t="s">
        <v>374</v>
      </c>
      <c r="H88" s="4" t="s">
        <v>400</v>
      </c>
      <c r="I88" s="4">
        <v>3</v>
      </c>
      <c r="J88" s="4">
        <v>3</v>
      </c>
      <c r="K88" s="4">
        <v>36.6</v>
      </c>
    </row>
    <row r="89" spans="2:11" x14ac:dyDescent="0.25">
      <c r="B89" s="4">
        <v>27</v>
      </c>
      <c r="C89" s="4">
        <v>7</v>
      </c>
      <c r="D89" s="4" t="s">
        <v>8</v>
      </c>
      <c r="E89" s="4">
        <v>3</v>
      </c>
      <c r="F89" s="4" t="s">
        <v>373</v>
      </c>
      <c r="G89" s="4" t="s">
        <v>374</v>
      </c>
      <c r="H89" s="4" t="s">
        <v>401</v>
      </c>
      <c r="I89" s="4">
        <v>3</v>
      </c>
      <c r="J89" s="4">
        <v>3</v>
      </c>
      <c r="K89" s="4">
        <v>48.2</v>
      </c>
    </row>
    <row r="90" spans="2:11" x14ac:dyDescent="0.25">
      <c r="B90" s="4">
        <v>28</v>
      </c>
      <c r="C90" s="4">
        <v>7</v>
      </c>
      <c r="D90" s="4" t="s">
        <v>5</v>
      </c>
      <c r="E90" s="4">
        <v>4</v>
      </c>
      <c r="F90" s="4" t="s">
        <v>373</v>
      </c>
      <c r="G90" s="4" t="s">
        <v>374</v>
      </c>
      <c r="H90" s="4" t="s">
        <v>402</v>
      </c>
      <c r="I90" s="4">
        <v>3</v>
      </c>
      <c r="J90" s="4">
        <v>3</v>
      </c>
      <c r="K90" s="4">
        <v>30.1</v>
      </c>
    </row>
    <row r="91" spans="2:11" x14ac:dyDescent="0.25">
      <c r="B91" s="4">
        <v>29</v>
      </c>
      <c r="C91" s="4">
        <v>8</v>
      </c>
      <c r="D91" s="4" t="s">
        <v>5</v>
      </c>
      <c r="E91" s="4">
        <v>1</v>
      </c>
      <c r="F91" s="4" t="s">
        <v>373</v>
      </c>
      <c r="G91" s="4" t="s">
        <v>374</v>
      </c>
      <c r="H91" s="4" t="s">
        <v>403</v>
      </c>
      <c r="I91" s="4">
        <v>3</v>
      </c>
      <c r="J91" s="4">
        <v>3</v>
      </c>
      <c r="K91" s="4">
        <v>41.2</v>
      </c>
    </row>
    <row r="92" spans="2:11" x14ac:dyDescent="0.25">
      <c r="B92" s="4">
        <v>30</v>
      </c>
      <c r="C92" s="4">
        <v>8</v>
      </c>
      <c r="D92" s="4" t="s">
        <v>8</v>
      </c>
      <c r="E92" s="4">
        <v>2</v>
      </c>
      <c r="F92" s="4" t="s">
        <v>373</v>
      </c>
      <c r="G92" s="4" t="s">
        <v>374</v>
      </c>
      <c r="H92" s="4" t="s">
        <v>404</v>
      </c>
      <c r="I92" s="4">
        <v>3</v>
      </c>
      <c r="J92" s="4">
        <v>5</v>
      </c>
      <c r="K92" s="4">
        <v>36</v>
      </c>
    </row>
    <row r="93" spans="2:11" x14ac:dyDescent="0.25">
      <c r="B93" s="4">
        <v>31</v>
      </c>
      <c r="C93" s="4">
        <v>8</v>
      </c>
      <c r="D93" s="4" t="s">
        <v>6</v>
      </c>
      <c r="E93" s="4">
        <v>3</v>
      </c>
      <c r="F93" s="4" t="s">
        <v>373</v>
      </c>
      <c r="G93" s="4" t="s">
        <v>374</v>
      </c>
      <c r="H93" s="4" t="s">
        <v>405</v>
      </c>
      <c r="I93" s="4">
        <v>3</v>
      </c>
      <c r="J93" s="4">
        <v>3</v>
      </c>
      <c r="K93" s="4">
        <v>38.9</v>
      </c>
    </row>
    <row r="94" spans="2:11" x14ac:dyDescent="0.25">
      <c r="B94" s="4">
        <v>32</v>
      </c>
      <c r="C94" s="4">
        <v>8</v>
      </c>
      <c r="D94" s="4" t="s">
        <v>7</v>
      </c>
      <c r="E94" s="4">
        <v>4</v>
      </c>
      <c r="F94" s="4" t="s">
        <v>373</v>
      </c>
      <c r="G94" s="4" t="s">
        <v>374</v>
      </c>
      <c r="H94" s="4" t="s">
        <v>406</v>
      </c>
      <c r="I94" s="4">
        <v>3</v>
      </c>
      <c r="J94" s="4">
        <v>3</v>
      </c>
      <c r="K94" s="4">
        <v>25</v>
      </c>
    </row>
    <row r="95" spans="2:11" x14ac:dyDescent="0.25">
      <c r="B95" s="4">
        <v>33</v>
      </c>
      <c r="C95" s="4">
        <v>9</v>
      </c>
      <c r="D95" s="4" t="s">
        <v>8</v>
      </c>
      <c r="E95" s="4">
        <v>1</v>
      </c>
      <c r="F95" s="4" t="s">
        <v>373</v>
      </c>
      <c r="G95" s="4" t="s">
        <v>374</v>
      </c>
      <c r="H95" s="4" t="s">
        <v>407</v>
      </c>
      <c r="I95" s="4">
        <v>3</v>
      </c>
      <c r="J95" s="4">
        <v>3</v>
      </c>
      <c r="K95" s="4">
        <v>36.799999999999997</v>
      </c>
    </row>
    <row r="96" spans="2:11" x14ac:dyDescent="0.25">
      <c r="B96" s="4">
        <v>34</v>
      </c>
      <c r="C96" s="4">
        <v>9</v>
      </c>
      <c r="D96" s="4" t="s">
        <v>6</v>
      </c>
      <c r="E96" s="4">
        <v>2</v>
      </c>
      <c r="F96" s="4" t="s">
        <v>373</v>
      </c>
      <c r="G96" s="4" t="s">
        <v>374</v>
      </c>
      <c r="H96" s="4" t="s">
        <v>408</v>
      </c>
      <c r="I96" s="4">
        <v>3</v>
      </c>
      <c r="J96" s="4">
        <v>3</v>
      </c>
      <c r="K96" s="4">
        <v>47.6</v>
      </c>
    </row>
    <row r="97" spans="2:11" x14ac:dyDescent="0.25">
      <c r="B97" s="4">
        <v>35</v>
      </c>
      <c r="C97" s="4">
        <v>9</v>
      </c>
      <c r="D97" s="4" t="s">
        <v>7</v>
      </c>
      <c r="E97" s="4">
        <v>3</v>
      </c>
      <c r="F97" s="4" t="s">
        <v>373</v>
      </c>
      <c r="G97" s="4" t="s">
        <v>374</v>
      </c>
      <c r="H97" s="4" t="s">
        <v>409</v>
      </c>
      <c r="I97" s="4">
        <v>3</v>
      </c>
      <c r="J97" s="4">
        <v>3</v>
      </c>
      <c r="K97" s="4">
        <v>37.799999999999997</v>
      </c>
    </row>
    <row r="98" spans="2:11" x14ac:dyDescent="0.25">
      <c r="B98" s="4">
        <v>36</v>
      </c>
      <c r="C98" s="4">
        <v>9</v>
      </c>
      <c r="D98" s="4" t="s">
        <v>5</v>
      </c>
      <c r="E98" s="4">
        <v>4</v>
      </c>
      <c r="F98" s="4" t="s">
        <v>373</v>
      </c>
      <c r="G98" s="4" t="s">
        <v>374</v>
      </c>
      <c r="H98" s="4" t="s">
        <v>410</v>
      </c>
      <c r="I98" s="4">
        <v>3</v>
      </c>
      <c r="J98" s="4">
        <v>3</v>
      </c>
      <c r="K98" s="4">
        <v>48.7</v>
      </c>
    </row>
    <row r="99" spans="2:11" x14ac:dyDescent="0.25">
      <c r="B99" s="4">
        <v>37</v>
      </c>
      <c r="C99" s="4">
        <v>10</v>
      </c>
      <c r="D99" s="4" t="s">
        <v>7</v>
      </c>
      <c r="E99" s="4">
        <v>1</v>
      </c>
      <c r="F99" s="4" t="s">
        <v>373</v>
      </c>
      <c r="G99" s="4" t="s">
        <v>374</v>
      </c>
      <c r="H99" s="4" t="s">
        <v>411</v>
      </c>
      <c r="I99" s="4">
        <v>4</v>
      </c>
      <c r="J99" s="4">
        <v>4</v>
      </c>
      <c r="K99" s="4">
        <v>45.6</v>
      </c>
    </row>
    <row r="100" spans="2:11" x14ac:dyDescent="0.25">
      <c r="B100" s="4">
        <v>38</v>
      </c>
      <c r="C100" s="4">
        <v>10</v>
      </c>
      <c r="D100" s="4" t="s">
        <v>6</v>
      </c>
      <c r="E100" s="4">
        <v>2</v>
      </c>
      <c r="F100" s="4" t="s">
        <v>373</v>
      </c>
      <c r="G100" s="4" t="s">
        <v>374</v>
      </c>
      <c r="H100" s="4" t="s">
        <v>412</v>
      </c>
      <c r="I100" s="4">
        <v>4</v>
      </c>
      <c r="J100" s="4">
        <v>4</v>
      </c>
      <c r="K100" s="4">
        <v>31.8</v>
      </c>
    </row>
    <row r="101" spans="2:11" x14ac:dyDescent="0.25">
      <c r="B101" s="4">
        <v>39</v>
      </c>
      <c r="C101" s="4">
        <v>10</v>
      </c>
      <c r="D101" s="4" t="s">
        <v>8</v>
      </c>
      <c r="E101" s="4">
        <v>3</v>
      </c>
      <c r="F101" s="4" t="s">
        <v>373</v>
      </c>
      <c r="G101" s="4" t="s">
        <v>374</v>
      </c>
      <c r="H101" s="4" t="s">
        <v>413</v>
      </c>
      <c r="I101" s="4">
        <v>4</v>
      </c>
      <c r="J101" s="4">
        <v>4</v>
      </c>
      <c r="K101" s="4">
        <v>52.6</v>
      </c>
    </row>
    <row r="102" spans="2:11" x14ac:dyDescent="0.25">
      <c r="B102" s="4">
        <v>40</v>
      </c>
      <c r="C102" s="4">
        <v>10</v>
      </c>
      <c r="D102" s="4" t="s">
        <v>5</v>
      </c>
      <c r="E102" s="4">
        <v>4</v>
      </c>
      <c r="F102" s="4" t="s">
        <v>373</v>
      </c>
      <c r="G102" s="4" t="s">
        <v>374</v>
      </c>
      <c r="H102" s="4" t="s">
        <v>414</v>
      </c>
      <c r="I102" s="4">
        <v>4</v>
      </c>
      <c r="J102" s="4">
        <v>4</v>
      </c>
      <c r="K102" s="4">
        <v>41.2</v>
      </c>
    </row>
    <row r="103" spans="2:11" x14ac:dyDescent="0.25">
      <c r="B103" s="4">
        <v>41</v>
      </c>
      <c r="C103" s="4">
        <v>11</v>
      </c>
      <c r="D103" s="4" t="s">
        <v>6</v>
      </c>
      <c r="E103" s="4">
        <v>1</v>
      </c>
      <c r="F103" s="4" t="s">
        <v>373</v>
      </c>
      <c r="G103" s="4" t="s">
        <v>374</v>
      </c>
      <c r="H103" s="4" t="s">
        <v>415</v>
      </c>
      <c r="I103" s="4">
        <v>4</v>
      </c>
      <c r="J103" s="4">
        <v>4</v>
      </c>
      <c r="K103" s="4">
        <v>51.7</v>
      </c>
    </row>
    <row r="104" spans="2:11" x14ac:dyDescent="0.25">
      <c r="B104" s="4">
        <v>42</v>
      </c>
      <c r="C104" s="4">
        <v>11</v>
      </c>
      <c r="D104" s="4" t="s">
        <v>7</v>
      </c>
      <c r="E104" s="4">
        <v>2</v>
      </c>
      <c r="F104" s="4" t="s">
        <v>373</v>
      </c>
      <c r="G104" s="4" t="s">
        <v>374</v>
      </c>
      <c r="H104" s="4" t="s">
        <v>416</v>
      </c>
      <c r="I104" s="4">
        <v>4</v>
      </c>
      <c r="J104" s="4">
        <v>4</v>
      </c>
      <c r="K104" s="4">
        <v>52.7</v>
      </c>
    </row>
    <row r="105" spans="2:11" x14ac:dyDescent="0.25">
      <c r="B105" s="4">
        <v>43</v>
      </c>
      <c r="C105" s="4">
        <v>11</v>
      </c>
      <c r="D105" s="4" t="s">
        <v>5</v>
      </c>
      <c r="E105" s="4">
        <v>3</v>
      </c>
      <c r="F105" s="4" t="s">
        <v>373</v>
      </c>
      <c r="G105" s="4" t="s">
        <v>374</v>
      </c>
      <c r="H105" s="4" t="s">
        <v>417</v>
      </c>
      <c r="I105" s="4">
        <v>4</v>
      </c>
      <c r="J105" s="4">
        <v>4</v>
      </c>
      <c r="K105" s="4">
        <v>53.3</v>
      </c>
    </row>
    <row r="106" spans="2:11" x14ac:dyDescent="0.25">
      <c r="B106" s="4">
        <v>44</v>
      </c>
      <c r="C106" s="4">
        <v>11</v>
      </c>
      <c r="D106" s="4" t="s">
        <v>8</v>
      </c>
      <c r="E106" s="4">
        <v>4</v>
      </c>
      <c r="F106" s="4" t="s">
        <v>373</v>
      </c>
      <c r="G106" s="4" t="s">
        <v>374</v>
      </c>
      <c r="H106" s="4" t="s">
        <v>418</v>
      </c>
      <c r="I106" s="4">
        <v>4</v>
      </c>
      <c r="J106" s="4">
        <v>4</v>
      </c>
      <c r="K106" s="4">
        <v>46.6</v>
      </c>
    </row>
    <row r="107" spans="2:11" x14ac:dyDescent="0.25">
      <c r="B107" s="4">
        <v>45</v>
      </c>
      <c r="C107" s="4">
        <v>12</v>
      </c>
      <c r="D107" s="4" t="s">
        <v>7</v>
      </c>
      <c r="E107" s="4">
        <v>1</v>
      </c>
      <c r="F107" s="4" t="s">
        <v>373</v>
      </c>
      <c r="G107" s="4" t="s">
        <v>374</v>
      </c>
      <c r="H107" s="4" t="s">
        <v>419</v>
      </c>
      <c r="I107" s="4">
        <v>4</v>
      </c>
      <c r="J107" s="4">
        <v>4</v>
      </c>
      <c r="K107" s="4">
        <v>52.2</v>
      </c>
    </row>
    <row r="108" spans="2:11" x14ac:dyDescent="0.25">
      <c r="B108" s="4">
        <v>46</v>
      </c>
      <c r="C108" s="4">
        <v>12</v>
      </c>
      <c r="D108" s="4" t="s">
        <v>6</v>
      </c>
      <c r="E108" s="4">
        <v>2</v>
      </c>
      <c r="F108" s="4" t="s">
        <v>373</v>
      </c>
      <c r="G108" s="4" t="s">
        <v>374</v>
      </c>
      <c r="H108" s="4" t="s">
        <v>420</v>
      </c>
      <c r="I108" s="4">
        <v>4</v>
      </c>
      <c r="J108" s="4">
        <v>4</v>
      </c>
      <c r="K108" s="4">
        <v>29.6</v>
      </c>
    </row>
    <row r="109" spans="2:11" x14ac:dyDescent="0.25">
      <c r="B109" s="4">
        <v>47</v>
      </c>
      <c r="C109" s="4">
        <v>12</v>
      </c>
      <c r="D109" s="4" t="s">
        <v>5</v>
      </c>
      <c r="E109" s="4">
        <v>3</v>
      </c>
      <c r="F109" s="4" t="s">
        <v>373</v>
      </c>
      <c r="G109" s="4" t="s">
        <v>374</v>
      </c>
      <c r="H109" s="4" t="s">
        <v>421</v>
      </c>
      <c r="I109" s="4">
        <v>4</v>
      </c>
      <c r="J109" s="4" t="s">
        <v>462</v>
      </c>
      <c r="K109" s="4" t="s">
        <v>462</v>
      </c>
    </row>
    <row r="110" spans="2:11" x14ac:dyDescent="0.25">
      <c r="B110" s="4">
        <v>48</v>
      </c>
      <c r="C110" s="4">
        <v>12</v>
      </c>
      <c r="D110" s="4" t="s">
        <v>8</v>
      </c>
      <c r="E110" s="4">
        <v>4</v>
      </c>
      <c r="F110" s="4" t="s">
        <v>373</v>
      </c>
      <c r="G110" s="4" t="s">
        <v>374</v>
      </c>
      <c r="H110" s="4" t="s">
        <v>422</v>
      </c>
      <c r="I110" s="4">
        <v>4</v>
      </c>
      <c r="J110" s="4">
        <v>4</v>
      </c>
      <c r="K110" s="4">
        <v>41.7</v>
      </c>
    </row>
    <row r="111" spans="2:11" x14ac:dyDescent="0.25">
      <c r="B111" s="4">
        <v>49</v>
      </c>
      <c r="C111" s="4">
        <v>13</v>
      </c>
      <c r="D111" s="4" t="s">
        <v>6</v>
      </c>
      <c r="E111" s="4">
        <v>1</v>
      </c>
      <c r="F111" s="4" t="s">
        <v>373</v>
      </c>
      <c r="G111" s="4" t="s">
        <v>374</v>
      </c>
      <c r="H111" s="4" t="s">
        <v>423</v>
      </c>
      <c r="I111" s="4">
        <v>5</v>
      </c>
      <c r="J111" s="4">
        <v>5</v>
      </c>
      <c r="K111" s="4">
        <v>46</v>
      </c>
    </row>
    <row r="112" spans="2:11" x14ac:dyDescent="0.25">
      <c r="B112" s="4">
        <v>50</v>
      </c>
      <c r="C112" s="4">
        <v>13</v>
      </c>
      <c r="D112" s="4" t="s">
        <v>8</v>
      </c>
      <c r="E112" s="4">
        <v>2</v>
      </c>
      <c r="F112" s="4" t="s">
        <v>373</v>
      </c>
      <c r="G112" s="4" t="s">
        <v>374</v>
      </c>
      <c r="H112" s="4" t="s">
        <v>424</v>
      </c>
      <c r="I112" s="4">
        <v>5</v>
      </c>
      <c r="J112" s="4" t="s">
        <v>462</v>
      </c>
      <c r="K112" s="4" t="s">
        <v>462</v>
      </c>
    </row>
    <row r="113" spans="2:11" x14ac:dyDescent="0.25">
      <c r="B113" s="4">
        <v>51</v>
      </c>
      <c r="C113" s="4">
        <v>13</v>
      </c>
      <c r="D113" s="4" t="s">
        <v>7</v>
      </c>
      <c r="E113" s="4">
        <v>3</v>
      </c>
      <c r="F113" s="4" t="s">
        <v>373</v>
      </c>
      <c r="G113" s="4" t="s">
        <v>374</v>
      </c>
      <c r="H113" s="4" t="s">
        <v>425</v>
      </c>
      <c r="I113" s="4">
        <v>5</v>
      </c>
      <c r="J113" s="4" t="s">
        <v>462</v>
      </c>
      <c r="K113" s="4" t="s">
        <v>462</v>
      </c>
    </row>
    <row r="114" spans="2:11" x14ac:dyDescent="0.25">
      <c r="B114" s="4">
        <v>52</v>
      </c>
      <c r="C114" s="4">
        <v>13</v>
      </c>
      <c r="D114" s="4" t="s">
        <v>5</v>
      </c>
      <c r="E114" s="4">
        <v>4</v>
      </c>
      <c r="F114" s="4" t="s">
        <v>373</v>
      </c>
      <c r="G114" s="4" t="s">
        <v>374</v>
      </c>
      <c r="H114" s="4" t="s">
        <v>426</v>
      </c>
      <c r="I114" s="4">
        <v>5</v>
      </c>
      <c r="J114" s="4">
        <v>5</v>
      </c>
      <c r="K114" s="4">
        <v>34.5</v>
      </c>
    </row>
    <row r="115" spans="2:11" x14ac:dyDescent="0.25">
      <c r="B115" s="4">
        <v>53</v>
      </c>
      <c r="C115" s="4">
        <v>14</v>
      </c>
      <c r="D115" s="4" t="s">
        <v>6</v>
      </c>
      <c r="E115" s="4">
        <v>1</v>
      </c>
      <c r="F115" s="4" t="s">
        <v>373</v>
      </c>
      <c r="G115" s="4" t="s">
        <v>374</v>
      </c>
      <c r="H115" s="4" t="s">
        <v>427</v>
      </c>
      <c r="I115" s="4">
        <v>5</v>
      </c>
      <c r="J115" s="4" t="s">
        <v>462</v>
      </c>
      <c r="K115" s="4" t="s">
        <v>462</v>
      </c>
    </row>
    <row r="116" spans="2:11" x14ac:dyDescent="0.25">
      <c r="B116" s="4">
        <v>54</v>
      </c>
      <c r="C116" s="4">
        <v>14</v>
      </c>
      <c r="D116" s="4" t="s">
        <v>5</v>
      </c>
      <c r="E116" s="4">
        <v>2</v>
      </c>
      <c r="F116" s="4" t="s">
        <v>373</v>
      </c>
      <c r="G116" s="4" t="s">
        <v>374</v>
      </c>
      <c r="H116" s="4" t="s">
        <v>428</v>
      </c>
      <c r="I116" s="4">
        <v>5</v>
      </c>
      <c r="J116" s="4" t="s">
        <v>462</v>
      </c>
      <c r="K116" s="4" t="s">
        <v>462</v>
      </c>
    </row>
    <row r="117" spans="2:11" x14ac:dyDescent="0.25">
      <c r="B117" s="4">
        <v>55</v>
      </c>
      <c r="C117" s="4">
        <v>14</v>
      </c>
      <c r="D117" s="4" t="s">
        <v>8</v>
      </c>
      <c r="E117" s="4">
        <v>3</v>
      </c>
      <c r="F117" s="4" t="s">
        <v>373</v>
      </c>
      <c r="G117" s="4" t="s">
        <v>374</v>
      </c>
      <c r="H117" s="4" t="s">
        <v>429</v>
      </c>
      <c r="I117" s="4">
        <v>5</v>
      </c>
      <c r="J117" s="4" t="s">
        <v>462</v>
      </c>
      <c r="K117" s="4" t="s">
        <v>462</v>
      </c>
    </row>
    <row r="118" spans="2:11" x14ac:dyDescent="0.25">
      <c r="B118" s="4">
        <v>56</v>
      </c>
      <c r="C118" s="4">
        <v>14</v>
      </c>
      <c r="D118" s="4" t="s">
        <v>7</v>
      </c>
      <c r="E118" s="4">
        <v>4</v>
      </c>
      <c r="F118" s="4" t="s">
        <v>373</v>
      </c>
      <c r="G118" s="4" t="s">
        <v>374</v>
      </c>
      <c r="H118" s="4" t="s">
        <v>430</v>
      </c>
      <c r="I118" s="4">
        <v>5</v>
      </c>
      <c r="J118" s="4">
        <v>5</v>
      </c>
      <c r="K118" s="4">
        <v>27.5</v>
      </c>
    </row>
    <row r="119" spans="2:11" x14ac:dyDescent="0.25">
      <c r="B119" s="4">
        <v>57</v>
      </c>
      <c r="C119" s="8" t="s">
        <v>70</v>
      </c>
      <c r="D119" s="8" t="s">
        <v>69</v>
      </c>
      <c r="E119" s="8" t="s">
        <v>70</v>
      </c>
      <c r="F119" s="8" t="s">
        <v>431</v>
      </c>
      <c r="G119" s="4" t="s">
        <v>374</v>
      </c>
      <c r="H119" s="4" t="s">
        <v>432</v>
      </c>
      <c r="I119" s="4">
        <v>5</v>
      </c>
      <c r="J119" s="4">
        <v>2</v>
      </c>
      <c r="K119" s="4">
        <v>5.0000000000000001E-3</v>
      </c>
    </row>
    <row r="120" spans="2:11" x14ac:dyDescent="0.25">
      <c r="B120" s="4">
        <v>58</v>
      </c>
      <c r="C120" s="8" t="s">
        <v>70</v>
      </c>
      <c r="D120" s="8" t="s">
        <v>69</v>
      </c>
      <c r="E120" s="8" t="s">
        <v>70</v>
      </c>
      <c r="F120" s="8" t="s">
        <v>431</v>
      </c>
      <c r="G120" s="4" t="s">
        <v>374</v>
      </c>
      <c r="H120" s="4" t="s">
        <v>433</v>
      </c>
      <c r="I120" s="4">
        <v>5</v>
      </c>
      <c r="J120" s="4">
        <v>3</v>
      </c>
      <c r="K120" s="4">
        <v>2E-3</v>
      </c>
    </row>
    <row r="121" spans="2:11" x14ac:dyDescent="0.25">
      <c r="B121" s="4">
        <v>59</v>
      </c>
      <c r="C121" s="8" t="s">
        <v>70</v>
      </c>
      <c r="D121" s="8" t="s">
        <v>69</v>
      </c>
      <c r="E121" s="8" t="s">
        <v>70</v>
      </c>
      <c r="F121" s="8" t="s">
        <v>431</v>
      </c>
      <c r="G121" s="4" t="s">
        <v>374</v>
      </c>
      <c r="H121" s="4" t="s">
        <v>434</v>
      </c>
      <c r="I121" s="4">
        <v>5</v>
      </c>
      <c r="J121" s="4">
        <v>4</v>
      </c>
      <c r="K121" s="4" t="s">
        <v>316</v>
      </c>
    </row>
    <row r="122" spans="2:11" x14ac:dyDescent="0.25">
      <c r="B122" s="4">
        <v>60</v>
      </c>
      <c r="C122" s="8" t="s">
        <v>70</v>
      </c>
      <c r="D122" s="8" t="s">
        <v>69</v>
      </c>
      <c r="E122" s="8" t="s">
        <v>70</v>
      </c>
      <c r="F122" s="8" t="s">
        <v>431</v>
      </c>
      <c r="G122" s="4" t="s">
        <v>374</v>
      </c>
      <c r="H122" s="4" t="s">
        <v>435</v>
      </c>
      <c r="I122" s="4">
        <v>5</v>
      </c>
      <c r="J122" s="4">
        <v>5</v>
      </c>
      <c r="K122" s="4" t="s">
        <v>316</v>
      </c>
    </row>
  </sheetData>
  <autoFilter ref="B2:O2" xr:uid="{8086035F-709E-45F3-B35C-50A4DD96F0B2}">
    <sortState xmlns:xlrd2="http://schemas.microsoft.com/office/spreadsheetml/2017/richdata2" ref="B3:O122">
      <sortCondition ref="G2"/>
    </sortState>
  </autoFilter>
  <mergeCells count="1">
    <mergeCell ref="L1:O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3F4-90F6-4856-A03D-8B95260E25D0}">
  <sheetPr>
    <tabColor theme="5" tint="0.39997558519241921"/>
  </sheetPr>
  <dimension ref="A1:I8"/>
  <sheetViews>
    <sheetView workbookViewId="0">
      <selection activeCell="N17" sqref="N17"/>
    </sheetView>
  </sheetViews>
  <sheetFormatPr defaultRowHeight="15" x14ac:dyDescent="0.25"/>
  <cols>
    <col min="1" max="1" width="9.140625" style="4"/>
    <col min="2" max="2" width="14.85546875" customWidth="1"/>
    <col min="3" max="3" width="10.42578125" style="4" customWidth="1"/>
    <col min="4" max="4" width="10.28515625" style="4" customWidth="1"/>
    <col min="5" max="6" width="9.140625" style="4"/>
    <col min="7" max="7" width="13.28515625" customWidth="1"/>
    <col min="8" max="8" width="9.140625" style="4"/>
  </cols>
  <sheetData>
    <row r="1" spans="1:9" x14ac:dyDescent="0.25">
      <c r="C1" s="33" t="s">
        <v>297</v>
      </c>
      <c r="D1" s="33"/>
      <c r="E1" s="33"/>
      <c r="F1" s="33"/>
      <c r="G1" s="33"/>
      <c r="H1" s="1" t="s">
        <v>437</v>
      </c>
    </row>
    <row r="2" spans="1:9" s="29" customFormat="1" ht="30" x14ac:dyDescent="0.25">
      <c r="A2" s="9" t="s">
        <v>449</v>
      </c>
      <c r="B2" s="29" t="s">
        <v>450</v>
      </c>
      <c r="C2" s="9" t="s">
        <v>308</v>
      </c>
      <c r="D2" s="9" t="s">
        <v>305</v>
      </c>
      <c r="E2" s="9" t="s">
        <v>307</v>
      </c>
      <c r="F2" s="9" t="s">
        <v>306</v>
      </c>
      <c r="G2" s="9" t="s">
        <v>438</v>
      </c>
      <c r="H2" s="9" t="s">
        <v>308</v>
      </c>
      <c r="I2" s="28" t="s">
        <v>439</v>
      </c>
    </row>
    <row r="3" spans="1:9" x14ac:dyDescent="0.25">
      <c r="A3" s="4" t="s">
        <v>440</v>
      </c>
      <c r="B3" t="s">
        <v>441</v>
      </c>
      <c r="C3" s="4">
        <v>155.399</v>
      </c>
      <c r="D3" s="4">
        <v>3.1080000000000001</v>
      </c>
      <c r="E3" s="4">
        <v>2.4</v>
      </c>
      <c r="F3" s="4">
        <v>1.93</v>
      </c>
      <c r="G3">
        <f>C3*50</f>
        <v>7769.95</v>
      </c>
      <c r="H3" s="4">
        <v>95.8</v>
      </c>
      <c r="I3">
        <f>AVERAGE(H3:H4)</f>
        <v>108.5</v>
      </c>
    </row>
    <row r="4" spans="1:9" x14ac:dyDescent="0.25">
      <c r="A4" s="4" t="s">
        <v>440</v>
      </c>
      <c r="B4" t="s">
        <v>442</v>
      </c>
      <c r="C4" s="4">
        <v>213.977</v>
      </c>
      <c r="D4" s="4">
        <v>4.2794999999999996</v>
      </c>
      <c r="E4" s="4">
        <v>2.2999999999999998</v>
      </c>
      <c r="F4" s="4">
        <v>1.92</v>
      </c>
      <c r="G4">
        <f t="shared" ref="G4:G8" si="0">C4*50</f>
        <v>10698.85</v>
      </c>
      <c r="H4" s="4">
        <v>121.2</v>
      </c>
    </row>
    <row r="5" spans="1:9" x14ac:dyDescent="0.25">
      <c r="A5" s="4" t="s">
        <v>443</v>
      </c>
      <c r="B5" t="s">
        <v>444</v>
      </c>
      <c r="C5" s="4">
        <v>165.898</v>
      </c>
      <c r="D5" s="4">
        <v>3.3180000000000001</v>
      </c>
      <c r="E5" s="4">
        <v>2.14</v>
      </c>
      <c r="F5" s="4">
        <v>1.89</v>
      </c>
      <c r="G5">
        <f t="shared" si="0"/>
        <v>8294.9</v>
      </c>
      <c r="H5" s="4">
        <v>94.8</v>
      </c>
      <c r="I5">
        <f t="shared" ref="I5" si="1">AVERAGE(H5:H6)</f>
        <v>87.25</v>
      </c>
    </row>
    <row r="6" spans="1:9" x14ac:dyDescent="0.25">
      <c r="A6" s="4" t="s">
        <v>443</v>
      </c>
      <c r="B6" t="s">
        <v>445</v>
      </c>
      <c r="C6" s="4">
        <v>120.02800000000001</v>
      </c>
      <c r="D6" s="4">
        <v>2.4005999999999998</v>
      </c>
      <c r="E6" s="4">
        <v>2.29</v>
      </c>
      <c r="F6" s="4">
        <v>1.86</v>
      </c>
      <c r="G6">
        <f t="shared" si="0"/>
        <v>6001.4000000000005</v>
      </c>
      <c r="H6" s="4">
        <v>79.7</v>
      </c>
    </row>
    <row r="7" spans="1:9" x14ac:dyDescent="0.25">
      <c r="A7" s="4" t="s">
        <v>446</v>
      </c>
      <c r="B7" t="s">
        <v>447</v>
      </c>
      <c r="C7" s="4">
        <v>127.804</v>
      </c>
      <c r="D7" s="4">
        <v>2.5560999999999998</v>
      </c>
      <c r="E7" s="4">
        <v>2.37</v>
      </c>
      <c r="F7" s="4">
        <v>1.92</v>
      </c>
      <c r="G7">
        <f t="shared" si="0"/>
        <v>6390.2</v>
      </c>
      <c r="H7" s="4">
        <v>64.599999999999994</v>
      </c>
      <c r="I7">
        <f t="shared" ref="I7" si="2">AVERAGE(H7:H8)</f>
        <v>73.55</v>
      </c>
    </row>
    <row r="8" spans="1:9" x14ac:dyDescent="0.25">
      <c r="A8" s="4" t="s">
        <v>446</v>
      </c>
      <c r="B8" t="s">
        <v>448</v>
      </c>
      <c r="C8" s="4">
        <v>137.96700000000001</v>
      </c>
      <c r="D8" s="4">
        <v>2.7593000000000001</v>
      </c>
      <c r="E8" s="4">
        <v>2.33</v>
      </c>
      <c r="F8" s="4">
        <v>1.9</v>
      </c>
      <c r="G8">
        <f t="shared" si="0"/>
        <v>6898.35</v>
      </c>
      <c r="H8" s="4">
        <v>82.5</v>
      </c>
    </row>
  </sheetData>
  <mergeCells count="1">
    <mergeCell ref="C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2EF29A66F99E4C8AB01656948FB764" ma:contentTypeVersion="11" ma:contentTypeDescription="Een nieuw document maken." ma:contentTypeScope="" ma:versionID="2e71a8229927289272b65834e070efc7">
  <xsd:schema xmlns:xsd="http://www.w3.org/2001/XMLSchema" xmlns:xs="http://www.w3.org/2001/XMLSchema" xmlns:p="http://schemas.microsoft.com/office/2006/metadata/properties" xmlns:ns2="212b6c70-6bd3-4754-b09a-b30f6c70f8a0" xmlns:ns3="ee650d1f-e293-4c79-a66d-d81e7fd93bea" targetNamespace="http://schemas.microsoft.com/office/2006/metadata/properties" ma:root="true" ma:fieldsID="ce1407b56927a88608b56f2985ad7a1e" ns2:_="" ns3:_="">
    <xsd:import namespace="212b6c70-6bd3-4754-b09a-b30f6c70f8a0"/>
    <xsd:import namespace="ee650d1f-e293-4c79-a66d-d81e7fd93b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2b6c70-6bd3-4754-b09a-b30f6c70f8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650d1f-e293-4c79-a66d-d81e7fd93b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a06dbb9-c744-4853-a133-8e1fcb1d27ee}" ma:internalName="TaxCatchAll" ma:showField="CatchAllData" ma:web="ee650d1f-e293-4c79-a66d-d81e7fd93b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650d1f-e293-4c79-a66d-d81e7fd93bea" xsi:nil="true"/>
    <lcf76f155ced4ddcb4097134ff3c332f xmlns="212b6c70-6bd3-4754-b09a-b30f6c70f8a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FC27FE-1125-41B8-8DE7-5388A03B21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29914B-1B57-418C-9D1D-BD1044E32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2b6c70-6bd3-4754-b09a-b30f6c70f8a0"/>
    <ds:schemaRef ds:uri="ee650d1f-e293-4c79-a66d-d81e7fd93b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2BE412-9891-46A4-A31A-55FA7B756306}">
  <ds:schemaRefs>
    <ds:schemaRef ds:uri="http://schemas.microsoft.com/office/2006/metadata/properties"/>
    <ds:schemaRef ds:uri="http://schemas.microsoft.com/office/infopath/2007/PartnerControls"/>
    <ds:schemaRef ds:uri="ee650d1f-e293-4c79-a66d-d81e7fd93bea"/>
    <ds:schemaRef ds:uri="212b6c70-6bd3-4754-b09a-b30f6c70f8a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Tab_overview</vt:lpstr>
      <vt:lpstr>ED</vt:lpstr>
      <vt:lpstr>Prep_Sample</vt:lpstr>
      <vt:lpstr>Label_Leaf</vt:lpstr>
      <vt:lpstr>Label_EW</vt:lpstr>
      <vt:lpstr>Label_LW</vt:lpstr>
      <vt:lpstr>Label_Glycerols</vt:lpstr>
      <vt:lpstr>Aph_numbers</vt:lpstr>
      <vt:lpstr>Aph_TubeC</vt:lpstr>
      <vt:lpstr>Aph_tubes</vt:lpstr>
      <vt:lpstr>Aph_TubeW</vt:lpstr>
      <vt:lpstr>Prep_DNA</vt:lpstr>
      <vt:lpstr>Leaf_FW</vt:lpstr>
      <vt:lpstr>DNA_C</vt:lpstr>
      <vt:lpstr>Plasmids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Aragon Gomez, Marcela</dc:creator>
  <cp:lastModifiedBy>Aragon Gomez, Marcela</cp:lastModifiedBy>
  <dcterms:created xsi:type="dcterms:W3CDTF">2026-07-20T15:00:55Z</dcterms:created>
  <dcterms:modified xsi:type="dcterms:W3CDTF">2026-07-23T15:55:48Z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0x0101009E2EF29A66F99E4C8AB01656948FB764</vt:lpwstr>
  </property>
  <property fmtid="{D5CDD505-2E9C-101B-9397-08002B2CF9AE}" pid="3" name="MediaServiceImageTags">
    <vt:lpwstr/>
  </property>
</Properties>
</file>